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vitor\Downloads\"/>
    </mc:Choice>
  </mc:AlternateContent>
  <xr:revisionPtr revIDLastSave="0" documentId="13_ncr:1_{3D7BA791-2653-4225-BCCA-48DCC0A9FE12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5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3" l="1"/>
  <c r="H12" i="3"/>
</calcChain>
</file>

<file path=xl/sharedStrings.xml><?xml version="1.0" encoding="utf-8"?>
<sst xmlns="http://schemas.openxmlformats.org/spreadsheetml/2006/main" count="2040" uniqueCount="343">
  <si>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</si>
  <si>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</si>
  <si>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</si>
  <si>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</si>
  <si>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</si>
  <si>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</si>
  <si>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</si>
  <si>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</si>
  <si>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</si>
  <si>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</si>
  <si>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</si>
  <si>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</si>
  <si>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</si>
  <si>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</si>
  <si>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</si>
  <si>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</si>
  <si>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</si>
  <si>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</si>
  <si>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</si>
  <si>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</si>
  <si>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</si>
  <si>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</si>
  <si>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</si>
  <si>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</si>
  <si>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</si>
  <si>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</si>
  <si>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</si>
  <si>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</si>
  <si>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</si>
  <si>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</si>
  <si>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</si>
  <si>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</si>
  <si>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</si>
  <si>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</si>
  <si>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</si>
  <si>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</si>
  <si>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</si>
  <si>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</si>
  <si>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</si>
  <si>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</si>
  <si>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</si>
  <si>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</si>
  <si>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</si>
  <si>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</si>
  <si>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</si>
  <si>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</si>
  <si>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</si>
  <si>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</si>
  <si>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</si>
  <si>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</si>
  <si>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</si>
  <si>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</si>
  <si>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</si>
  <si>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</si>
  <si>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</si>
  <si>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</si>
  <si>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</si>
  <si>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</si>
  <si>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</si>
  <si>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</si>
  <si>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</si>
  <si>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</si>
  <si>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</si>
  <si>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</si>
  <si>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</si>
  <si>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</si>
  <si>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</si>
  <si>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</si>
  <si>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</si>
  <si>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</si>
  <si>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</si>
  <si>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</si>
  <si>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</si>
  <si>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</si>
  <si>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</si>
  <si>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</si>
  <si>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</si>
  <si>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</si>
  <si>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</si>
  <si>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</si>
  <si>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</si>
  <si>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</si>
  <si>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</si>
  <si>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</si>
  <si>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</si>
  <si>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</si>
  <si>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</si>
  <si>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</si>
  <si>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</si>
  <si>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</si>
  <si>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</si>
  <si>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</si>
  <si>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</si>
  <si>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</si>
  <si>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</si>
  <si>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</si>
  <si>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</si>
  <si>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</si>
  <si>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</si>
  <si>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</si>
  <si>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</si>
  <si>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</si>
  <si>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</si>
  <si>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</si>
  <si>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</si>
  <si>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</si>
  <si>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</si>
  <si>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</si>
  <si>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</si>
  <si>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</si>
  <si>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</si>
  <si>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</si>
  <si>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</si>
  <si>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</si>
  <si>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</si>
  <si>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</si>
  <si>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</si>
  <si>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</si>
  <si>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</si>
  <si>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</si>
  <si>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</si>
  <si>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</si>
  <si>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</si>
  <si>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</si>
  <si>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</si>
  <si>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</si>
  <si>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</si>
  <si>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</si>
  <si>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</si>
  <si>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</si>
  <si>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</si>
  <si>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</si>
  <si>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</si>
  <si>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</si>
  <si>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</si>
  <si>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</si>
  <si>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</si>
  <si>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</si>
  <si>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</si>
  <si>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</si>
  <si>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</si>
  <si>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</si>
  <si>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</si>
  <si>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</si>
  <si>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</si>
  <si>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</si>
  <si>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</si>
  <si>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</si>
  <si>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</si>
  <si>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</si>
  <si>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</si>
  <si>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</si>
  <si>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</si>
  <si>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</si>
  <si>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</si>
  <si>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</si>
  <si>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</si>
  <si>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</si>
  <si>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</si>
  <si>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</si>
  <si>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</si>
  <si>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</si>
  <si>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</si>
  <si>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</si>
  <si>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</si>
  <si>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</si>
  <si>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</si>
  <si>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</si>
  <si>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</si>
  <si>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</si>
  <si>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</si>
  <si>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</si>
  <si>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</si>
  <si>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</si>
  <si>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</si>
  <si>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</si>
  <si>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</si>
  <si>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</si>
  <si>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</si>
  <si>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</si>
  <si>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</si>
  <si>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</si>
  <si>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</si>
  <si>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</si>
  <si>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</si>
  <si>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</si>
  <si>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</si>
  <si>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</si>
  <si>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</si>
  <si>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</si>
  <si>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</si>
  <si>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</si>
  <si>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</si>
  <si>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</si>
  <si>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</si>
  <si>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</si>
  <si>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</si>
  <si>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</si>
  <si>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</si>
  <si>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</si>
  <si>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</si>
  <si>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</si>
  <si>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</si>
  <si>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</si>
  <si>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</si>
  <si>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</si>
  <si>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</si>
  <si>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</si>
  <si>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</si>
  <si>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</si>
  <si>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</si>
  <si>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</si>
  <si>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</si>
  <si>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</si>
  <si>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</si>
  <si>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</si>
  <si>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</si>
  <si>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</si>
  <si>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</si>
  <si>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</si>
  <si>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</si>
  <si>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</si>
  <si>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</si>
  <si>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</si>
  <si>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</si>
  <si>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</si>
  <si>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</si>
  <si>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</si>
  <si>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</si>
  <si>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</si>
  <si>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</si>
  <si>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</si>
  <si>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</si>
  <si>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</si>
  <si>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</si>
  <si>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</si>
  <si>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</si>
  <si>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</si>
  <si>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</si>
  <si>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</si>
  <si>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</si>
  <si>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</si>
  <si>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</si>
  <si>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</si>
  <si>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</si>
  <si>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</si>
  <si>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</si>
  <si>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</si>
  <si>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</si>
  <si>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</si>
  <si>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</si>
  <si>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</si>
  <si>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</si>
  <si>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</si>
  <si>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</si>
  <si>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</si>
  <si>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</si>
  <si>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</si>
  <si>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</si>
  <si>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</si>
  <si>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</si>
  <si>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</si>
  <si>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</si>
  <si>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</si>
  <si>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</si>
  <si>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</si>
  <si>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</si>
  <si>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</si>
  <si>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</si>
  <si>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</si>
  <si>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</si>
  <si>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</si>
  <si>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</si>
  <si>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</si>
  <si>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</si>
  <si>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</si>
  <si>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</si>
  <si>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</si>
  <si>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</si>
  <si>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</si>
  <si>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</si>
  <si>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</si>
  <si>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</si>
  <si>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</si>
  <si>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</si>
  <si>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</si>
  <si>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</si>
  <si>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</si>
  <si>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</si>
  <si>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</si>
  <si>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</si>
  <si>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</si>
  <si>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</si>
  <si>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</si>
  <si>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</si>
  <si>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</si>
  <si>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</si>
  <si>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</si>
  <si>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</si>
  <si>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</si>
  <si>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</si>
  <si>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</si>
  <si>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</si>
  <si>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</si>
  <si>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</si>
  <si>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</si>
  <si>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</si>
  <si>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</si>
  <si>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</si>
  <si>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</si>
  <si>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</si>
  <si>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</si>
  <si>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</si>
  <si>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</si>
  <si>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Total Geral</t>
  </si>
  <si>
    <t>RELATÓRIO DE ASSINATURAS DO XBOX GAME PASS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</si>
  <si>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</si>
  <si>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</si>
  <si>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</si>
  <si>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</si>
  <si>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</si>
  <si>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</si>
  <si>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</si>
  <si>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</si>
  <si>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</si>
  <si>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</si>
  <si>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</si>
  <si>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</si>
  <si>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</si>
  <si>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#2EE291</t>
  </si>
  <si>
    <t># 93FF81</t>
  </si>
  <si>
    <t>Primeiro trimestre</t>
  </si>
  <si>
    <t>Segundo trimestre</t>
  </si>
  <si>
    <t>Terceiro trimestre</t>
  </si>
  <si>
    <t>Quarto trimestre</t>
  </si>
  <si>
    <t>Total anual</t>
  </si>
  <si>
    <t>3 - Qual é a distribuição de assinantes por tipo de plano?</t>
  </si>
  <si>
    <t>Contagem de Plan</t>
  </si>
  <si>
    <t>2024</t>
  </si>
  <si>
    <t>Soma de Minecraft Season Pass Price</t>
  </si>
  <si>
    <t>Soma de EA Play Season Pass</t>
  </si>
  <si>
    <t>1 - De quanto é a receita proveniente de passes adicionais?</t>
  </si>
  <si>
    <t>2 - Qual a receita de novos assinantes por mês, semestre e ano?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</si>
</sst>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</font>
    <font>
      <b/>
      <sz val="13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EE291"/>
        <bgColor indexed="64"/>
      </patternFill>
    </fill>
    <fill>
      <patternFill patternType="solid">
        <fgColor rgb="FF93FF8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NumberFormat="1"/>
    <xf numFmtId="0" fontId="4" fillId="4" borderId="0" xfId="3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8" borderId="0" xfId="0" applyFill="1" applyAlignment="1">
      <alignment wrapText="1"/>
    </xf>
    <xf numFmtId="0" fontId="0" fillId="9" borderId="0" xfId="0" applyFill="1"/>
    <xf numFmtId="0" fontId="0" fillId="10" borderId="0" xfId="0" applyFill="1"/>
    <xf numFmtId="0" fontId="5" fillId="7" borderId="0" xfId="0" applyFont="1" applyFill="1"/>
    <xf numFmtId="44" fontId="0" fillId="0" borderId="0" xfId="2" applyFont="1" applyAlignment="1">
      <alignment horizontal="left"/>
    </xf>
    <xf numFmtId="0" fontId="0" fillId="0" borderId="0" xfId="0" applyAlignment="1">
      <alignment horizontal="left" indent="2"/>
    </xf>
    <xf numFmtId="0" fontId="6" fillId="4" borderId="0" xfId="3" applyFont="1" applyFill="1" applyBorder="1" applyAlignment="1">
      <alignment vertic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  <name val="Calibri"/>
        <family val="2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1E53F6BB-75E0-4643-BEC6-0EFCDC4F603C}">
      <tableStyleElement type="wholeTable" dxfId="15"/>
      <tableStyleElement type="headerRow" dxfId="14"/>
    </tableStyle>
  </tableStyles>
  <colors>
    <mruColors>
      <color rgb="FF5BF6A8"/>
      <color rgb="FF22C55E"/>
      <color rgb="FF000000"/>
      <color rgb="FF2EE291"/>
      <color rgb="FF2AE6B1"/>
      <color rgb="FF93FF81"/>
      <color rgb="FF1AF63F"/>
      <color rgb="FF9BC848"/>
      <color rgb="FFE8E6E9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[base_de_dados.xlsx]C̳álculos!Tabela dinâmica4</c:name>
    <c:fmtId val="27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C̳álculos!$B$19:$B$36</c:f>
              <c:multiLvlStrCache>
                <c:ptCount val="12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</c:lvl>
                <c:lvl>
                  <c:pt idx="0">
                    <c:v>Primeiro trimestre</c:v>
                  </c:pt>
                  <c:pt idx="3">
                    <c:v>Segundo trimestre</c:v>
                  </c:pt>
                  <c:pt idx="6">
                    <c:v>Terceiro trimestre</c:v>
                  </c:pt>
                  <c:pt idx="9">
                    <c:v>Quarto trimestre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C̳álculos!$C$19:$C$36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0-4EF4-BDE4-85528A855B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3078591"/>
        <c:axId val="1553079071"/>
      </c:barChart>
      <c:catAx>
        <c:axId val="155307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553079071"/>
        <c:crosses val="autoZero"/>
        <c:auto val="1"/>
        <c:lblAlgn val="ctr"/>
        <c:lblOffset val="100"/>
        <c:noMultiLvlLbl val="0"/>
      </c:catAx>
      <c:valAx>
        <c:axId val="155307907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530785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[base_de_dados.xlsx]C̳álculos!Tabela dinâmica2</c:name>
    <c:fmtId val="13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58343793982274"/>
          <c:y val="7.8626685797337698E-2"/>
          <c:w val="0.72585652007581991"/>
          <c:h val="0.733542841512881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C̳álculos!$B$53:$B$56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C̳álculos!$C$53:$C$56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F-4A43-A17F-A268462E0D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8970464"/>
        <c:axId val="988969024"/>
      </c:barChart>
      <c:catAx>
        <c:axId val="98897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8969024"/>
        <c:crosses val="autoZero"/>
        <c:auto val="1"/>
        <c:lblAlgn val="ctr"/>
        <c:lblOffset val="100"/>
        <c:noMultiLvlLbl val="0"/>
      </c:catAx>
      <c:valAx>
        <c:axId val="988969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897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9525</xdr:rowOff>
    </xdr:from>
    <xdr:to>
      <xdr:col>12</xdr:col>
      <xdr:colOff>304800</xdr:colOff>
      <xdr:row>6</xdr:row>
      <xdr:rowOff>104775</xdr:rowOff>
    </xdr:to>
    <xdr:sp macro="" textlink="">
      <xdr:nvSpPr>
        <xdr:cNvPr id="2" name="Retângulo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19B0E7A-7C74-44D6-BBF7-AF9298D987DC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14</xdr:col>
      <xdr:colOff>0</xdr:colOff>
      <xdr:row>5</xdr:row>
      <xdr:rowOff>9525</xdr:rowOff>
    </xdr:from>
    <xdr:to>
      <xdr:col>14</xdr:col>
      <xdr:colOff>304800</xdr:colOff>
      <xdr:row>6</xdr:row>
      <xdr:rowOff>104775</xdr:rowOff>
    </xdr:to>
    <xdr:sp macro="" textlink="">
      <xdr:nvSpPr>
        <xdr:cNvPr id="3" name="Retângulo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B73CA1C3-7741-47E6-9746-6AEFB673FD78}"/>
            </a:ext>
            <a:ext uri="{147F2762-F138-4A5C-976F-8EAC2B608ADB}">
              <a16:predDERef xmlns:a16="http://schemas.microsoft.com/office/drawing/2014/main" pred="{919B0E7A-7C74-44D6-BBF7-AF9298D987DC}"/>
            </a:ext>
          </a:extLst>
        </xdr:cNvPr>
        <xdr:cNvSpPr>
          <a:spLocks noChangeAspect="1" noChangeArrowheads="1"/>
        </xdr:cNvSpPr>
      </xdr:nvSpPr>
      <xdr:spPr bwMode="auto">
        <a:xfrm>
          <a:off x="1513522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28575</xdr:rowOff>
    </xdr:from>
    <xdr:to>
      <xdr:col>1</xdr:col>
      <xdr:colOff>167097</xdr:colOff>
      <xdr:row>0</xdr:row>
      <xdr:rowOff>490348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69D1D0-B8F0-4305-94E3-C6EFA90F1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1538697" cy="461773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</xdr:row>
      <xdr:rowOff>179071</xdr:rowOff>
    </xdr:from>
    <xdr:to>
      <xdr:col>19</xdr:col>
      <xdr:colOff>342900</xdr:colOff>
      <xdr:row>23</xdr:row>
      <xdr:rowOff>169253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EA7AF451-022D-96F2-1BF4-0B2020D5934C}"/>
            </a:ext>
          </a:extLst>
        </xdr:cNvPr>
        <xdr:cNvGrpSpPr/>
      </xdr:nvGrpSpPr>
      <xdr:grpSpPr>
        <a:xfrm>
          <a:off x="5274733" y="678604"/>
          <a:ext cx="6887634" cy="4020316"/>
          <a:chOff x="5867400" y="748959"/>
          <a:chExt cx="6888480" cy="3960202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A9B88376-8777-DCFC-772C-DD597FD2A7F1}"/>
              </a:ext>
            </a:extLst>
          </xdr:cNvPr>
          <xdr:cNvSpPr/>
        </xdr:nvSpPr>
        <xdr:spPr>
          <a:xfrm>
            <a:off x="5867400" y="748959"/>
            <a:ext cx="6888480" cy="3914481"/>
          </a:xfrm>
          <a:prstGeom prst="roundRect">
            <a:avLst>
              <a:gd name="adj" fmla="val 370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547578EA-03AD-FF4E-FB38-5384E35DD93C}"/>
              </a:ext>
            </a:extLst>
          </xdr:cNvPr>
          <xdr:cNvSpPr/>
        </xdr:nvSpPr>
        <xdr:spPr>
          <a:xfrm>
            <a:off x="5867400" y="748960"/>
            <a:ext cx="6888480" cy="90077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Receita proveniente de novos assinantes segmentada por mês, trimestre e ano</a:t>
            </a:r>
          </a:p>
        </xdr:txBody>
      </xdr:sp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2A1BAF7F-3A6F-4689-9F8F-B63B94CCC3CC}"/>
              </a:ext>
            </a:extLst>
          </xdr:cNvPr>
          <xdr:cNvGraphicFramePr>
            <a:graphicFrameLocks/>
          </xdr:cNvGraphicFramePr>
        </xdr:nvGraphicFramePr>
        <xdr:xfrm>
          <a:off x="6050280" y="1596391"/>
          <a:ext cx="6522720" cy="31127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3</xdr:row>
      <xdr:rowOff>0</xdr:rowOff>
    </xdr:from>
    <xdr:to>
      <xdr:col>2</xdr:col>
      <xdr:colOff>0</xdr:colOff>
      <xdr:row>9</xdr:row>
      <xdr:rowOff>137160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Subscription Type">
              <a:extLst>
                <a:ext uri="{FF2B5EF4-FFF2-40B4-BE49-F238E27FC236}">
                  <a16:creationId xmlns:a16="http://schemas.microsoft.com/office/drawing/2014/main" id="{84C6B677-05F2-4538-82E3-C8F3ABED71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87400"/>
              <a:ext cx="1617133" cy="12716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160020</xdr:colOff>
      <xdr:row>1</xdr:row>
      <xdr:rowOff>179071</xdr:rowOff>
    </xdr:from>
    <xdr:to>
      <xdr:col>6</xdr:col>
      <xdr:colOff>510540</xdr:colOff>
      <xdr:row>11</xdr:row>
      <xdr:rowOff>175261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052A3F6B-409D-B06D-D2F5-C4EF0DB94D81}"/>
            </a:ext>
          </a:extLst>
        </xdr:cNvPr>
        <xdr:cNvGrpSpPr/>
      </xdr:nvGrpSpPr>
      <xdr:grpSpPr>
        <a:xfrm>
          <a:off x="1777153" y="678604"/>
          <a:ext cx="2788920" cy="1791124"/>
          <a:chOff x="9174480" y="857250"/>
          <a:chExt cx="3101340" cy="1771650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0518F77-5049-89D6-02EE-AA7ECE23D8C3}"/>
              </a:ext>
            </a:extLst>
          </xdr:cNvPr>
          <xdr:cNvGrpSpPr/>
        </xdr:nvGrpSpPr>
        <xdr:grpSpPr>
          <a:xfrm>
            <a:off x="9174480" y="857250"/>
            <a:ext cx="3101340" cy="1771650"/>
            <a:chOff x="7208520" y="689610"/>
            <a:chExt cx="3101340" cy="1771650"/>
          </a:xfrm>
        </xdr:grpSpPr>
        <xdr:sp macro="" textlink="C̳álculos!D12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7053FB4B-2BCC-F47F-419A-2DB63A9EBC38}"/>
                </a:ext>
              </a:extLst>
            </xdr:cNvPr>
            <xdr:cNvSpPr/>
          </xdr:nvSpPr>
          <xdr:spPr>
            <a:xfrm>
              <a:off x="7208520" y="689610"/>
              <a:ext cx="3101340" cy="1771650"/>
            </a:xfrm>
            <a:prstGeom prst="roundRect">
              <a:avLst>
                <a:gd name="adj" fmla="val 721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endParaRPr lang="en-US" sz="4400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908069D5-42DA-30A3-F34C-15332583023D}"/>
                </a:ext>
              </a:extLst>
            </xdr:cNvPr>
            <xdr:cNvSpPr/>
          </xdr:nvSpPr>
          <xdr:spPr>
            <a:xfrm>
              <a:off x="7208520" y="691807"/>
              <a:ext cx="3101340" cy="61121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Receita proveniente do</a:t>
              </a:r>
              <a:r>
                <a:rPr lang="pt-BR" sz="1100" b="1" baseline="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 EA Play Season Pass segmentada por mês, trimestre e ano</a:t>
              </a:r>
              <a:endParaRPr lang="pt-BR" sz="11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xdr:grpSp>
      <xdr:sp macro="" textlink="C̳álculos!D12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3FD6B831-E855-4881-AD11-E936FD627CA7}"/>
              </a:ext>
            </a:extLst>
          </xdr:cNvPr>
          <xdr:cNvSpPr/>
        </xdr:nvSpPr>
        <xdr:spPr>
          <a:xfrm>
            <a:off x="9425940" y="1470660"/>
            <a:ext cx="2552700" cy="1158240"/>
          </a:xfrm>
          <a:prstGeom prst="roundRect">
            <a:avLst>
              <a:gd name="adj" fmla="val 721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C0666C9-0434-45B8-A410-B689596A67CF}" type="TxLink">
              <a:rPr lang="en-US" sz="3200" b="0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algn="ctr"/>
              <a:t> R$ 600,00 </a:t>
            </a:fld>
            <a:endParaRPr lang="en-US" sz="3200" b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159477</xdr:colOff>
      <xdr:row>14</xdr:row>
      <xdr:rowOff>43523</xdr:rowOff>
    </xdr:from>
    <xdr:to>
      <xdr:col>6</xdr:col>
      <xdr:colOff>509997</xdr:colOff>
      <xdr:row>23</xdr:row>
      <xdr:rowOff>169253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FF0DC005-D0F9-4BD3-A5BD-A11F97297BD2}"/>
            </a:ext>
          </a:extLst>
        </xdr:cNvPr>
        <xdr:cNvGrpSpPr/>
      </xdr:nvGrpSpPr>
      <xdr:grpSpPr>
        <a:xfrm>
          <a:off x="1776610" y="2896790"/>
          <a:ext cx="2788920" cy="1802130"/>
          <a:chOff x="9174480" y="857250"/>
          <a:chExt cx="3101340" cy="1771650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34722B83-FDCA-EE6E-8C48-B68BB8245392}"/>
              </a:ext>
            </a:extLst>
          </xdr:cNvPr>
          <xdr:cNvGrpSpPr/>
        </xdr:nvGrpSpPr>
        <xdr:grpSpPr>
          <a:xfrm>
            <a:off x="9174480" y="857250"/>
            <a:ext cx="3101340" cy="1771650"/>
            <a:chOff x="7208520" y="689610"/>
            <a:chExt cx="3101340" cy="1771650"/>
          </a:xfrm>
        </xdr:grpSpPr>
        <xdr:sp macro="" textlink="C̳álculos!D12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769604F7-6806-EAA7-7684-5EAAA9C5B777}"/>
                </a:ext>
              </a:extLst>
            </xdr:cNvPr>
            <xdr:cNvSpPr/>
          </xdr:nvSpPr>
          <xdr:spPr>
            <a:xfrm>
              <a:off x="7208520" y="689610"/>
              <a:ext cx="3101340" cy="1771650"/>
            </a:xfrm>
            <a:prstGeom prst="roundRect">
              <a:avLst>
                <a:gd name="adj" fmla="val 721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endParaRPr lang="en-US" sz="4400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  <xdr:sp macro="" textlink="">
          <xdr:nvSpPr>
            <xdr:cNvPr id="26" name="Retângulo: Cantos Superiores Arredondados 25">
              <a:extLst>
                <a:ext uri="{FF2B5EF4-FFF2-40B4-BE49-F238E27FC236}">
                  <a16:creationId xmlns:a16="http://schemas.microsoft.com/office/drawing/2014/main" id="{D3811739-EE4A-1589-7070-94BD8E0C7E52}"/>
                </a:ext>
              </a:extLst>
            </xdr:cNvPr>
            <xdr:cNvSpPr/>
          </xdr:nvSpPr>
          <xdr:spPr>
            <a:xfrm>
              <a:off x="7208520" y="691807"/>
              <a:ext cx="3101340" cy="61121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Receita proveniente do</a:t>
              </a:r>
              <a:r>
                <a:rPr lang="pt-BR" sz="1100" b="1" baseline="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 Minecraft Season Pass segmentada por mês, trimestre e ano</a:t>
              </a:r>
              <a:endParaRPr lang="pt-BR" sz="11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xdr:grpSp>
      <xdr:sp macro="" textlink="C̳álculos!H12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598EC379-374D-F23C-644E-61345D4DEE10}"/>
              </a:ext>
            </a:extLst>
          </xdr:cNvPr>
          <xdr:cNvSpPr/>
        </xdr:nvSpPr>
        <xdr:spPr>
          <a:xfrm>
            <a:off x="9425940" y="1470660"/>
            <a:ext cx="2552700" cy="1158240"/>
          </a:xfrm>
          <a:prstGeom prst="roundRect">
            <a:avLst>
              <a:gd name="adj" fmla="val 721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F84A8B4-DCB8-4510-90D4-E6F7F042593D}" type="TxLink">
              <a:rPr lang="en-US" sz="32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R$ 940,00 </a:t>
            </a:fld>
            <a:endParaRPr lang="en-US" sz="3200" b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 editAs="absolute">
    <xdr:from>
      <xdr:col>20</xdr:col>
      <xdr:colOff>198967</xdr:colOff>
      <xdr:row>1</xdr:row>
      <xdr:rowOff>179071</xdr:rowOff>
    </xdr:from>
    <xdr:to>
      <xdr:col>24</xdr:col>
      <xdr:colOff>389467</xdr:colOff>
      <xdr:row>23</xdr:row>
      <xdr:rowOff>90918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E9735C14-CB87-0755-E761-8518A9143084}"/>
            </a:ext>
          </a:extLst>
        </xdr:cNvPr>
        <xdr:cNvGrpSpPr/>
      </xdr:nvGrpSpPr>
      <xdr:grpSpPr>
        <a:xfrm>
          <a:off x="12628034" y="678604"/>
          <a:ext cx="2628900" cy="3941981"/>
          <a:chOff x="9380220" y="530945"/>
          <a:chExt cx="4381500" cy="2197015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A160CB05-19C8-77ED-D21F-DAB995204AC1}"/>
              </a:ext>
            </a:extLst>
          </xdr:cNvPr>
          <xdr:cNvGrpSpPr/>
        </xdr:nvGrpSpPr>
        <xdr:grpSpPr>
          <a:xfrm>
            <a:off x="9380220" y="530945"/>
            <a:ext cx="4381500" cy="2197015"/>
            <a:chOff x="7208520" y="672097"/>
            <a:chExt cx="3101340" cy="1789163"/>
          </a:xfrm>
        </xdr:grpSpPr>
        <xdr:sp macro="" textlink="C̳álculos!D12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7C30AB30-7F9B-CEF5-50B4-1215BD3DBA46}"/>
                </a:ext>
              </a:extLst>
            </xdr:cNvPr>
            <xdr:cNvSpPr/>
          </xdr:nvSpPr>
          <xdr:spPr>
            <a:xfrm>
              <a:off x="7208520" y="689610"/>
              <a:ext cx="3101340" cy="1771650"/>
            </a:xfrm>
            <a:prstGeom prst="roundRect">
              <a:avLst>
                <a:gd name="adj" fmla="val 721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endParaRPr lang="en-US" sz="4400">
                <a:solidFill>
                  <a:srgbClr val="FF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  <xdr:sp macro="" textlink="">
          <xdr:nvSpPr>
            <xdr:cNvPr id="31" name="Retângulo: Cantos Superiores Arredondados 30">
              <a:extLst>
                <a:ext uri="{FF2B5EF4-FFF2-40B4-BE49-F238E27FC236}">
                  <a16:creationId xmlns:a16="http://schemas.microsoft.com/office/drawing/2014/main" id="{D3BFB4D7-BA14-4AB4-79EF-5B77609399D9}"/>
                </a:ext>
              </a:extLst>
            </xdr:cNvPr>
            <xdr:cNvSpPr/>
          </xdr:nvSpPr>
          <xdr:spPr>
            <a:xfrm>
              <a:off x="7208520" y="672097"/>
              <a:ext cx="3101340" cy="26168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Distribuição</a:t>
              </a:r>
              <a:r>
                <a:rPr lang="pt-BR" sz="1100" b="1" baseline="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 de assinantes por tipo de plano</a:t>
              </a:r>
              <a:endParaRPr lang="pt-BR" sz="11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endParaRPr>
            </a:p>
          </xdr:txBody>
        </xdr:sp>
      </xdr:grpSp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DD9385D5-8F15-41C9-A609-A2665A37343C}"/>
              </a:ext>
            </a:extLst>
          </xdr:cNvPr>
          <xdr:cNvGraphicFramePr>
            <a:graphicFrameLocks/>
          </xdr:cNvGraphicFramePr>
        </xdr:nvGraphicFramePr>
        <xdr:xfrm>
          <a:off x="9380220" y="992304"/>
          <a:ext cx="4381500" cy="14222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702501967593" createdVersion="8" refreshedVersion="8" minRefreshableVersion="3" recordCount="295" xr:uid="{ED2DD182-77CB-4D01-8262-31DBC3F61246}">
  <cacheSource type="worksheet">
    <worksheetSource name="Tabela13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5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Trimestres (Start Date)" numFmtId="0" databaseField="0">
      <fieldGroup base="3">
        <rangePr groupBy="quarters" startDate="2024-01-01T00:00:00" endDate="2024-12-17T00:00:00"/>
        <groupItems count="6">
          <s v="&lt;01/01/2024"/>
          <s v="Trim1"/>
          <s v="Trim2"/>
          <s v="Trim3"/>
          <s v="Trim4"/>
          <s v="&gt;17/12/2024"/>
        </groupItems>
      </fieldGroup>
    </cacheField>
    <cacheField name="Anos (Start Date)" numFmtId="0" databaseField="0">
      <fieldGroup base="3">
        <rangePr groupBy="years" startDate="2024-01-01T00:00:00" endDate="2024-12-17T00:00:00"/>
        <groupItems count="3">
          <s v="&lt;01/01/2024"/>
          <s v="2024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8085472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x v="0"/>
    <x v="0"/>
    <x v="0"/>
    <n v="20"/>
    <n v="5"/>
    <n v="60"/>
  </r>
  <r>
    <n v="3232"/>
    <s v="Maria Oliveira"/>
    <x v="1"/>
    <x v="1"/>
    <s v="No"/>
    <n v="5"/>
    <x v="1"/>
    <x v="1"/>
    <x v="1"/>
    <x v="1"/>
    <n v="0"/>
    <n v="0"/>
    <n v="5"/>
  </r>
  <r>
    <n v="3233"/>
    <s v="Lucas Fernandes"/>
    <x v="2"/>
    <x v="2"/>
    <s v="Yes"/>
    <n v="10"/>
    <x v="2"/>
    <x v="1"/>
    <x v="1"/>
    <x v="0"/>
    <n v="20"/>
    <n v="10"/>
    <n v="20"/>
  </r>
  <r>
    <n v="3234"/>
    <s v="Ana Souza"/>
    <x v="0"/>
    <x v="3"/>
    <s v="No"/>
    <n v="15"/>
    <x v="0"/>
    <x v="0"/>
    <x v="0"/>
    <x v="0"/>
    <n v="20"/>
    <n v="3"/>
    <n v="62"/>
  </r>
  <r>
    <n v="3235"/>
    <s v="Pedro Gonçalves"/>
    <x v="1"/>
    <x v="4"/>
    <s v="Yes"/>
    <n v="5"/>
    <x v="0"/>
    <x v="1"/>
    <x v="1"/>
    <x v="1"/>
    <n v="0"/>
    <n v="1"/>
    <n v="4"/>
  </r>
  <r>
    <n v="3236"/>
    <s v="Felipe Costa"/>
    <x v="2"/>
    <x v="5"/>
    <s v="No"/>
    <n v="10"/>
    <x v="0"/>
    <x v="1"/>
    <x v="1"/>
    <x v="0"/>
    <n v="20"/>
    <n v="2"/>
    <n v="28"/>
  </r>
  <r>
    <n v="3237"/>
    <s v="Camila Ribeiro"/>
    <x v="0"/>
    <x v="6"/>
    <s v="Yes"/>
    <n v="15"/>
    <x v="2"/>
    <x v="0"/>
    <x v="0"/>
    <x v="0"/>
    <n v="20"/>
    <n v="10"/>
    <n v="55"/>
  </r>
  <r>
    <n v="3238"/>
    <s v="André Mendes"/>
    <x v="1"/>
    <x v="7"/>
    <s v="Yes"/>
    <n v="5"/>
    <x v="1"/>
    <x v="1"/>
    <x v="1"/>
    <x v="1"/>
    <n v="0"/>
    <n v="0"/>
    <n v="5"/>
  </r>
  <r>
    <n v="3239"/>
    <s v="Sofia Almeida"/>
    <x v="0"/>
    <x v="4"/>
    <s v="No"/>
    <n v="15"/>
    <x v="0"/>
    <x v="0"/>
    <x v="0"/>
    <x v="0"/>
    <n v="20"/>
    <n v="5"/>
    <n v="60"/>
  </r>
  <r>
    <n v="3240"/>
    <s v="Bruno Martins"/>
    <x v="2"/>
    <x v="8"/>
    <s v="Yes"/>
    <n v="10"/>
    <x v="2"/>
    <x v="1"/>
    <x v="1"/>
    <x v="0"/>
    <n v="20"/>
    <n v="15"/>
    <n v="15"/>
  </r>
  <r>
    <n v="3241"/>
    <s v="Rita Castro"/>
    <x v="1"/>
    <x v="9"/>
    <s v="No"/>
    <n v="5"/>
    <x v="0"/>
    <x v="1"/>
    <x v="1"/>
    <x v="1"/>
    <n v="0"/>
    <n v="1"/>
    <n v="4"/>
  </r>
  <r>
    <n v="3242"/>
    <s v="Marco Túlio"/>
    <x v="0"/>
    <x v="10"/>
    <s v="Yes"/>
    <n v="15"/>
    <x v="1"/>
    <x v="0"/>
    <x v="0"/>
    <x v="0"/>
    <n v="20"/>
    <n v="20"/>
    <n v="45"/>
  </r>
  <r>
    <n v="3243"/>
    <s v="Lívia Silveira"/>
    <x v="2"/>
    <x v="11"/>
    <s v="No"/>
    <n v="10"/>
    <x v="0"/>
    <x v="1"/>
    <x v="1"/>
    <x v="0"/>
    <n v="20"/>
    <n v="10"/>
    <n v="20"/>
  </r>
  <r>
    <n v="3244"/>
    <s v="Diogo Sousa"/>
    <x v="1"/>
    <x v="12"/>
    <s v="Yes"/>
    <n v="5"/>
    <x v="2"/>
    <x v="1"/>
    <x v="1"/>
    <x v="1"/>
    <n v="0"/>
    <n v="0"/>
    <n v="5"/>
  </r>
  <r>
    <n v="3245"/>
    <s v="Fernanda Lima"/>
    <x v="0"/>
    <x v="13"/>
    <s v="No"/>
    <n v="15"/>
    <x v="0"/>
    <x v="0"/>
    <x v="0"/>
    <x v="0"/>
    <n v="20"/>
    <n v="8"/>
    <n v="57"/>
  </r>
  <r>
    <n v="3246"/>
    <s v="Caio Pereira"/>
    <x v="2"/>
    <x v="14"/>
    <s v="Yes"/>
    <n v="10"/>
    <x v="1"/>
    <x v="1"/>
    <x v="1"/>
    <x v="0"/>
    <n v="20"/>
    <n v="12"/>
    <n v="18"/>
  </r>
  <r>
    <n v="3247"/>
    <s v="Beatriz Gomes"/>
    <x v="1"/>
    <x v="15"/>
    <s v="No"/>
    <n v="5"/>
    <x v="0"/>
    <x v="1"/>
    <x v="1"/>
    <x v="1"/>
    <n v="0"/>
    <n v="2"/>
    <n v="3"/>
  </r>
  <r>
    <n v="3248"/>
    <s v="Cesar Oliveira"/>
    <x v="0"/>
    <x v="16"/>
    <s v="Yes"/>
    <n v="15"/>
    <x v="2"/>
    <x v="0"/>
    <x v="0"/>
    <x v="0"/>
    <n v="20"/>
    <n v="7"/>
    <n v="58"/>
  </r>
  <r>
    <n v="3249"/>
    <s v="Débora Machado"/>
    <x v="2"/>
    <x v="17"/>
    <s v="No"/>
    <n v="10"/>
    <x v="0"/>
    <x v="1"/>
    <x v="1"/>
    <x v="0"/>
    <n v="20"/>
    <n v="5"/>
    <n v="25"/>
  </r>
  <r>
    <n v="3250"/>
    <s v="Eduardo Vargas"/>
    <x v="1"/>
    <x v="18"/>
    <s v="Yes"/>
    <n v="5"/>
    <x v="1"/>
    <x v="1"/>
    <x v="1"/>
    <x v="1"/>
    <n v="0"/>
    <n v="0"/>
    <n v="5"/>
  </r>
  <r>
    <n v="3251"/>
    <s v="Gabriela Santos"/>
    <x v="0"/>
    <x v="19"/>
    <s v="No"/>
    <n v="15"/>
    <x v="0"/>
    <x v="0"/>
    <x v="0"/>
    <x v="0"/>
    <n v="20"/>
    <n v="3"/>
    <n v="62"/>
  </r>
  <r>
    <n v="3252"/>
    <s v="Henrique Dias"/>
    <x v="2"/>
    <x v="20"/>
    <s v="Yes"/>
    <n v="10"/>
    <x v="2"/>
    <x v="1"/>
    <x v="1"/>
    <x v="0"/>
    <n v="20"/>
    <n v="15"/>
    <n v="15"/>
  </r>
  <r>
    <n v="3253"/>
    <s v="Isabela Moreira"/>
    <x v="1"/>
    <x v="21"/>
    <s v="No"/>
    <n v="5"/>
    <x v="0"/>
    <x v="1"/>
    <x v="1"/>
    <x v="1"/>
    <n v="0"/>
    <n v="1"/>
    <n v="4"/>
  </r>
  <r>
    <n v="3254"/>
    <s v="Joaquim Barbosa"/>
    <x v="0"/>
    <x v="22"/>
    <s v="Yes"/>
    <n v="15"/>
    <x v="1"/>
    <x v="0"/>
    <x v="0"/>
    <x v="0"/>
    <n v="20"/>
    <n v="20"/>
    <n v="45"/>
  </r>
  <r>
    <n v="3255"/>
    <s v="Lara Rocha"/>
    <x v="2"/>
    <x v="23"/>
    <s v="No"/>
    <n v="10"/>
    <x v="0"/>
    <x v="1"/>
    <x v="1"/>
    <x v="0"/>
    <n v="20"/>
    <n v="10"/>
    <n v="20"/>
  </r>
  <r>
    <n v="3256"/>
    <s v="Matheus Silva"/>
    <x v="1"/>
    <x v="24"/>
    <s v="Yes"/>
    <n v="5"/>
    <x v="2"/>
    <x v="1"/>
    <x v="1"/>
    <x v="1"/>
    <n v="0"/>
    <n v="0"/>
    <n v="5"/>
  </r>
  <r>
    <n v="3257"/>
    <s v="Nicole Costa"/>
    <x v="0"/>
    <x v="25"/>
    <s v="No"/>
    <n v="15"/>
    <x v="0"/>
    <x v="0"/>
    <x v="0"/>
    <x v="0"/>
    <n v="20"/>
    <n v="5"/>
    <n v="60"/>
  </r>
  <r>
    <n v="3258"/>
    <s v="Otávio Mendonça"/>
    <x v="2"/>
    <x v="26"/>
    <s v="Yes"/>
    <n v="10"/>
    <x v="1"/>
    <x v="1"/>
    <x v="1"/>
    <x v="0"/>
    <n v="20"/>
    <n v="15"/>
    <n v="15"/>
  </r>
  <r>
    <n v="3259"/>
    <s v="Paula Ferreira"/>
    <x v="1"/>
    <x v="27"/>
    <s v="No"/>
    <n v="5"/>
    <x v="0"/>
    <x v="1"/>
    <x v="1"/>
    <x v="1"/>
    <n v="0"/>
    <n v="1"/>
    <n v="4"/>
  </r>
  <r>
    <n v="3260"/>
    <s v="Raquel Alves"/>
    <x v="0"/>
    <x v="28"/>
    <s v="Yes"/>
    <n v="15"/>
    <x v="2"/>
    <x v="0"/>
    <x v="0"/>
    <x v="0"/>
    <n v="20"/>
    <n v="7"/>
    <n v="58"/>
  </r>
  <r>
    <n v="3261"/>
    <s v="Samuel Pires"/>
    <x v="2"/>
    <x v="29"/>
    <s v="No"/>
    <n v="10"/>
    <x v="0"/>
    <x v="1"/>
    <x v="1"/>
    <x v="0"/>
    <n v="20"/>
    <n v="10"/>
    <n v="20"/>
  </r>
  <r>
    <n v="3262"/>
    <s v="Tânia Barros"/>
    <x v="1"/>
    <x v="30"/>
    <s v="Yes"/>
    <n v="5"/>
    <x v="1"/>
    <x v="1"/>
    <x v="1"/>
    <x v="1"/>
    <n v="0"/>
    <n v="0"/>
    <n v="5"/>
  </r>
  <r>
    <n v="3263"/>
    <s v="Vinicius Lima"/>
    <x v="0"/>
    <x v="31"/>
    <s v="No"/>
    <n v="15"/>
    <x v="0"/>
    <x v="0"/>
    <x v="0"/>
    <x v="0"/>
    <n v="20"/>
    <n v="3"/>
    <n v="62"/>
  </r>
  <r>
    <n v="3264"/>
    <s v="Yasmin Teixeira"/>
    <x v="2"/>
    <x v="32"/>
    <s v="Yes"/>
    <n v="10"/>
    <x v="2"/>
    <x v="1"/>
    <x v="1"/>
    <x v="0"/>
    <n v="20"/>
    <n v="15"/>
    <n v="15"/>
  </r>
  <r>
    <n v="3265"/>
    <s v="Zé Carlos"/>
    <x v="1"/>
    <x v="33"/>
    <s v="No"/>
    <n v="5"/>
    <x v="0"/>
    <x v="1"/>
    <x v="1"/>
    <x v="1"/>
    <n v="0"/>
    <n v="1"/>
    <n v="4"/>
  </r>
  <r>
    <n v="3266"/>
    <s v="Amanda Nogueira"/>
    <x v="1"/>
    <x v="34"/>
    <s v="Yes"/>
    <n v="5"/>
    <x v="0"/>
    <x v="1"/>
    <x v="1"/>
    <x v="1"/>
    <n v="0"/>
    <n v="0"/>
    <n v="5"/>
  </r>
  <r>
    <n v="3267"/>
    <s v="Bruno Cavalheiro"/>
    <x v="0"/>
    <x v="35"/>
    <s v="No"/>
    <n v="15"/>
    <x v="2"/>
    <x v="0"/>
    <x v="0"/>
    <x v="0"/>
    <n v="20"/>
    <n v="7"/>
    <n v="58"/>
  </r>
  <r>
    <n v="3268"/>
    <s v="Carla Dias"/>
    <x v="2"/>
    <x v="36"/>
    <s v="Yes"/>
    <n v="10"/>
    <x v="1"/>
    <x v="1"/>
    <x v="1"/>
    <x v="0"/>
    <n v="20"/>
    <n v="10"/>
    <n v="20"/>
  </r>
  <r>
    <n v="3269"/>
    <s v="Diego Fontes"/>
    <x v="1"/>
    <x v="37"/>
    <s v="No"/>
    <n v="5"/>
    <x v="2"/>
    <x v="1"/>
    <x v="1"/>
    <x v="1"/>
    <n v="0"/>
    <n v="1"/>
    <n v="4"/>
  </r>
  <r>
    <n v="3270"/>
    <s v="Eunice Lima"/>
    <x v="0"/>
    <x v="38"/>
    <s v="Yes"/>
    <n v="15"/>
    <x v="0"/>
    <x v="0"/>
    <x v="0"/>
    <x v="0"/>
    <n v="20"/>
    <n v="15"/>
    <n v="50"/>
  </r>
  <r>
    <n v="3271"/>
    <s v="Fábio Martins"/>
    <x v="2"/>
    <x v="39"/>
    <s v="No"/>
    <n v="10"/>
    <x v="0"/>
    <x v="1"/>
    <x v="1"/>
    <x v="0"/>
    <n v="20"/>
    <n v="5"/>
    <n v="25"/>
  </r>
  <r>
    <n v="3272"/>
    <s v="Gisele Araújo"/>
    <x v="1"/>
    <x v="40"/>
    <s v="Yes"/>
    <n v="5"/>
    <x v="1"/>
    <x v="1"/>
    <x v="1"/>
    <x v="1"/>
    <n v="0"/>
    <n v="0"/>
    <n v="5"/>
  </r>
  <r>
    <n v="3273"/>
    <s v="Hélio Castro"/>
    <x v="0"/>
    <x v="41"/>
    <s v="No"/>
    <n v="15"/>
    <x v="2"/>
    <x v="0"/>
    <x v="0"/>
    <x v="0"/>
    <n v="20"/>
    <n v="20"/>
    <n v="45"/>
  </r>
  <r>
    <n v="3274"/>
    <s v="Ingrid Menezes"/>
    <x v="2"/>
    <x v="42"/>
    <s v="Yes"/>
    <n v="10"/>
    <x v="2"/>
    <x v="1"/>
    <x v="1"/>
    <x v="0"/>
    <n v="20"/>
    <n v="12"/>
    <n v="18"/>
  </r>
  <r>
    <n v="3275"/>
    <s v="Jorge Baptista"/>
    <x v="1"/>
    <x v="43"/>
    <s v="No"/>
    <n v="5"/>
    <x v="0"/>
    <x v="1"/>
    <x v="1"/>
    <x v="1"/>
    <n v="0"/>
    <n v="2"/>
    <n v="3"/>
  </r>
  <r>
    <n v="3276"/>
    <s v="Kléber Oliveira"/>
    <x v="0"/>
    <x v="44"/>
    <s v="Yes"/>
    <n v="15"/>
    <x v="1"/>
    <x v="0"/>
    <x v="0"/>
    <x v="0"/>
    <n v="20"/>
    <n v="5"/>
    <n v="60"/>
  </r>
  <r>
    <n v="3277"/>
    <s v="Luciana Freitas"/>
    <x v="2"/>
    <x v="45"/>
    <s v="No"/>
    <n v="10"/>
    <x v="0"/>
    <x v="1"/>
    <x v="1"/>
    <x v="0"/>
    <n v="20"/>
    <n v="10"/>
    <n v="20"/>
  </r>
  <r>
    <n v="3278"/>
    <s v="Márcia Eller"/>
    <x v="1"/>
    <x v="46"/>
    <s v="Yes"/>
    <n v="5"/>
    <x v="2"/>
    <x v="1"/>
    <x v="1"/>
    <x v="1"/>
    <n v="0"/>
    <n v="0"/>
    <n v="5"/>
  </r>
  <r>
    <n v="3279"/>
    <s v="Nilo Peçanha"/>
    <x v="0"/>
    <x v="47"/>
    <s v="No"/>
    <n v="15"/>
    <x v="0"/>
    <x v="0"/>
    <x v="0"/>
    <x v="0"/>
    <n v="20"/>
    <n v="3"/>
    <n v="62"/>
  </r>
  <r>
    <n v="3280"/>
    <s v="Oscar Neves"/>
    <x v="2"/>
    <x v="48"/>
    <s v="Yes"/>
    <n v="10"/>
    <x v="1"/>
    <x v="1"/>
    <x v="1"/>
    <x v="0"/>
    <n v="20"/>
    <n v="15"/>
    <n v="15"/>
  </r>
  <r>
    <n v="3281"/>
    <s v="Patrícia Soares"/>
    <x v="1"/>
    <x v="49"/>
    <s v="No"/>
    <n v="5"/>
    <x v="0"/>
    <x v="1"/>
    <x v="1"/>
    <x v="1"/>
    <n v="0"/>
    <n v="1"/>
    <n v="4"/>
  </r>
  <r>
    <n v="3282"/>
    <s v="Quirino Gonçalves"/>
    <x v="0"/>
    <x v="50"/>
    <s v="Yes"/>
    <n v="15"/>
    <x v="2"/>
    <x v="0"/>
    <x v="0"/>
    <x v="0"/>
    <n v="20"/>
    <n v="7"/>
    <n v="58"/>
  </r>
  <r>
    <n v="3283"/>
    <s v="Raul Machado"/>
    <x v="2"/>
    <x v="51"/>
    <s v="No"/>
    <n v="10"/>
    <x v="0"/>
    <x v="1"/>
    <x v="1"/>
    <x v="0"/>
    <n v="20"/>
    <n v="10"/>
    <n v="20"/>
  </r>
  <r>
    <n v="3284"/>
    <s v="Sônia Lobo"/>
    <x v="1"/>
    <x v="52"/>
    <s v="Yes"/>
    <n v="5"/>
    <x v="1"/>
    <x v="1"/>
    <x v="1"/>
    <x v="1"/>
    <n v="0"/>
    <n v="0"/>
    <n v="5"/>
  </r>
  <r>
    <n v="3285"/>
    <s v="Tiago Ramos"/>
    <x v="0"/>
    <x v="53"/>
    <s v="No"/>
    <n v="15"/>
    <x v="0"/>
    <x v="0"/>
    <x v="0"/>
    <x v="0"/>
    <n v="20"/>
    <n v="20"/>
    <n v="45"/>
  </r>
  <r>
    <n v="3286"/>
    <s v="Ugo Pires"/>
    <x v="2"/>
    <x v="54"/>
    <s v="Yes"/>
    <n v="10"/>
    <x v="2"/>
    <x v="1"/>
    <x v="1"/>
    <x v="0"/>
    <n v="20"/>
    <n v="15"/>
    <n v="15"/>
  </r>
  <r>
    <n v="3287"/>
    <s v="Valéria Nobre"/>
    <x v="1"/>
    <x v="55"/>
    <s v="No"/>
    <n v="5"/>
    <x v="0"/>
    <x v="1"/>
    <x v="1"/>
    <x v="1"/>
    <n v="0"/>
    <n v="1"/>
    <n v="4"/>
  </r>
  <r>
    <n v="3288"/>
    <s v="William Siqueira"/>
    <x v="0"/>
    <x v="56"/>
    <s v="Yes"/>
    <n v="15"/>
    <x v="1"/>
    <x v="0"/>
    <x v="0"/>
    <x v="0"/>
    <n v="20"/>
    <n v="3"/>
    <n v="62"/>
  </r>
  <r>
    <n v="3289"/>
    <s v="Xuxa Meneghel"/>
    <x v="2"/>
    <x v="57"/>
    <s v="No"/>
    <n v="10"/>
    <x v="0"/>
    <x v="1"/>
    <x v="1"/>
    <x v="0"/>
    <n v="20"/>
    <n v="10"/>
    <n v="20"/>
  </r>
  <r>
    <n v="3290"/>
    <s v="Yara Figueiredo"/>
    <x v="1"/>
    <x v="58"/>
    <s v="Yes"/>
    <n v="5"/>
    <x v="2"/>
    <x v="1"/>
    <x v="1"/>
    <x v="1"/>
    <n v="0"/>
    <n v="0"/>
    <n v="5"/>
  </r>
  <r>
    <n v="3291"/>
    <s v="Zacarias Alves"/>
    <x v="0"/>
    <x v="59"/>
    <s v="No"/>
    <n v="15"/>
    <x v="0"/>
    <x v="0"/>
    <x v="0"/>
    <x v="0"/>
    <n v="20"/>
    <n v="5"/>
    <n v="60"/>
  </r>
  <r>
    <n v="3292"/>
    <s v="Amanda Bynes"/>
    <x v="2"/>
    <x v="60"/>
    <s v="Yes"/>
    <n v="10"/>
    <x v="1"/>
    <x v="1"/>
    <x v="1"/>
    <x v="0"/>
    <n v="20"/>
    <n v="15"/>
    <n v="15"/>
  </r>
  <r>
    <n v="3293"/>
    <s v="Bruno Mars"/>
    <x v="1"/>
    <x v="61"/>
    <s v="No"/>
    <n v="5"/>
    <x v="0"/>
    <x v="1"/>
    <x v="1"/>
    <x v="1"/>
    <n v="0"/>
    <n v="1"/>
    <n v="4"/>
  </r>
  <r>
    <n v="3294"/>
    <s v="Carla Bruni"/>
    <x v="0"/>
    <x v="62"/>
    <s v="Yes"/>
    <n v="15"/>
    <x v="2"/>
    <x v="0"/>
    <x v="0"/>
    <x v="0"/>
    <n v="20"/>
    <n v="20"/>
    <n v="45"/>
  </r>
  <r>
    <n v="3295"/>
    <s v="Diego Maradona"/>
    <x v="2"/>
    <x v="63"/>
    <s v="No"/>
    <n v="10"/>
    <x v="0"/>
    <x v="1"/>
    <x v="1"/>
    <x v="0"/>
    <n v="20"/>
    <n v="5"/>
    <n v="25"/>
  </r>
  <r>
    <n v="3296"/>
    <s v="Estela Marques"/>
    <x v="1"/>
    <x v="64"/>
    <s v="No"/>
    <n v="5"/>
    <x v="0"/>
    <x v="1"/>
    <x v="1"/>
    <x v="1"/>
    <n v="0"/>
    <n v="0"/>
    <n v="5"/>
  </r>
  <r>
    <n v="3297"/>
    <s v="Fábio Nobre"/>
    <x v="0"/>
    <x v="65"/>
    <s v="Yes"/>
    <n v="15"/>
    <x v="2"/>
    <x v="0"/>
    <x v="0"/>
    <x v="0"/>
    <n v="20"/>
    <n v="7"/>
    <n v="58"/>
  </r>
  <r>
    <n v="3298"/>
    <s v="Gabriel Oliveira"/>
    <x v="2"/>
    <x v="66"/>
    <s v="No"/>
    <n v="10"/>
    <x v="1"/>
    <x v="1"/>
    <x v="1"/>
    <x v="0"/>
    <n v="20"/>
    <n v="10"/>
    <n v="20"/>
  </r>
  <r>
    <n v="3299"/>
    <s v="Helena Santos"/>
    <x v="1"/>
    <x v="67"/>
    <s v="Yes"/>
    <n v="5"/>
    <x v="2"/>
    <x v="1"/>
    <x v="1"/>
    <x v="1"/>
    <n v="0"/>
    <n v="1"/>
    <n v="4"/>
  </r>
  <r>
    <n v="3300"/>
    <s v="Ivan Carvalho"/>
    <x v="0"/>
    <x v="68"/>
    <s v="No"/>
    <n v="15"/>
    <x v="0"/>
    <x v="0"/>
    <x v="0"/>
    <x v="0"/>
    <n v="20"/>
    <n v="15"/>
    <n v="50"/>
  </r>
  <r>
    <n v="3301"/>
    <s v="Júlia Ferreira"/>
    <x v="2"/>
    <x v="69"/>
    <s v="Yes"/>
    <n v="10"/>
    <x v="0"/>
    <x v="1"/>
    <x v="1"/>
    <x v="0"/>
    <n v="20"/>
    <n v="5"/>
    <n v="25"/>
  </r>
  <r>
    <n v="3302"/>
    <s v="Karla Alves"/>
    <x v="1"/>
    <x v="70"/>
    <s v="No"/>
    <n v="5"/>
    <x v="1"/>
    <x v="1"/>
    <x v="1"/>
    <x v="1"/>
    <n v="0"/>
    <n v="0"/>
    <n v="5"/>
  </r>
  <r>
    <n v="3303"/>
    <s v="Lucas Mendes"/>
    <x v="0"/>
    <x v="71"/>
    <s v="Yes"/>
    <n v="15"/>
    <x v="2"/>
    <x v="0"/>
    <x v="0"/>
    <x v="0"/>
    <n v="20"/>
    <n v="20"/>
    <n v="45"/>
  </r>
  <r>
    <n v="3304"/>
    <s v="Mônica Gomes"/>
    <x v="2"/>
    <x v="72"/>
    <s v="No"/>
    <n v="10"/>
    <x v="2"/>
    <x v="1"/>
    <x v="1"/>
    <x v="0"/>
    <n v="20"/>
    <n v="12"/>
    <n v="18"/>
  </r>
  <r>
    <n v="3305"/>
    <s v="Norberto Queiroz"/>
    <x v="1"/>
    <x v="73"/>
    <s v="Yes"/>
    <n v="5"/>
    <x v="0"/>
    <x v="1"/>
    <x v="1"/>
    <x v="1"/>
    <n v="0"/>
    <n v="2"/>
    <n v="3"/>
  </r>
  <r>
    <n v="3306"/>
    <s v="Otávio Barros"/>
    <x v="0"/>
    <x v="74"/>
    <s v="No"/>
    <n v="15"/>
    <x v="1"/>
    <x v="0"/>
    <x v="0"/>
    <x v="0"/>
    <n v="20"/>
    <n v="5"/>
    <n v="60"/>
  </r>
  <r>
    <n v="3307"/>
    <s v="Paula Vieira"/>
    <x v="2"/>
    <x v="75"/>
    <s v="Yes"/>
    <n v="10"/>
    <x v="0"/>
    <x v="1"/>
    <x v="1"/>
    <x v="0"/>
    <n v="20"/>
    <n v="10"/>
    <n v="20"/>
  </r>
  <r>
    <n v="3308"/>
    <s v="Quentin Ramos"/>
    <x v="1"/>
    <x v="76"/>
    <s v="No"/>
    <n v="5"/>
    <x v="2"/>
    <x v="1"/>
    <x v="1"/>
    <x v="1"/>
    <n v="0"/>
    <n v="0"/>
    <n v="5"/>
  </r>
  <r>
    <n v="3309"/>
    <s v="Raquel Novaes"/>
    <x v="0"/>
    <x v="77"/>
    <s v="Yes"/>
    <n v="15"/>
    <x v="0"/>
    <x v="0"/>
    <x v="0"/>
    <x v="0"/>
    <n v="20"/>
    <n v="3"/>
    <n v="62"/>
  </r>
  <r>
    <n v="3310"/>
    <s v="Samantha Lopes"/>
    <x v="2"/>
    <x v="78"/>
    <s v="No"/>
    <n v="10"/>
    <x v="1"/>
    <x v="1"/>
    <x v="1"/>
    <x v="0"/>
    <n v="20"/>
    <n v="15"/>
    <n v="15"/>
  </r>
  <r>
    <n v="3311"/>
    <s v="Tiago Martins"/>
    <x v="1"/>
    <x v="79"/>
    <s v="Yes"/>
    <n v="5"/>
    <x v="0"/>
    <x v="1"/>
    <x v="1"/>
    <x v="1"/>
    <n v="0"/>
    <n v="1"/>
    <n v="4"/>
  </r>
  <r>
    <n v="3312"/>
    <s v="Ulysses Guimarães"/>
    <x v="0"/>
    <x v="80"/>
    <s v="No"/>
    <n v="15"/>
    <x v="2"/>
    <x v="0"/>
    <x v="0"/>
    <x v="0"/>
    <n v="20"/>
    <n v="7"/>
    <n v="58"/>
  </r>
  <r>
    <n v="3313"/>
    <s v="Vanessa Silva"/>
    <x v="2"/>
    <x v="81"/>
    <s v="Yes"/>
    <n v="10"/>
    <x v="0"/>
    <x v="1"/>
    <x v="1"/>
    <x v="0"/>
    <n v="20"/>
    <n v="10"/>
    <n v="20"/>
  </r>
  <r>
    <n v="3314"/>
    <s v="William Carneiro"/>
    <x v="1"/>
    <x v="82"/>
    <s v="No"/>
    <n v="5"/>
    <x v="1"/>
    <x v="1"/>
    <x v="1"/>
    <x v="1"/>
    <n v="0"/>
    <n v="0"/>
    <n v="5"/>
  </r>
  <r>
    <n v="3315"/>
    <s v="Ximena Rocha"/>
    <x v="0"/>
    <x v="83"/>
    <s v="Yes"/>
    <n v="15"/>
    <x v="0"/>
    <x v="0"/>
    <x v="0"/>
    <x v="0"/>
    <n v="20"/>
    <n v="20"/>
    <n v="45"/>
  </r>
  <r>
    <n v="3316"/>
    <s v="Yasmin Figueiredo"/>
    <x v="2"/>
    <x v="84"/>
    <s v="No"/>
    <n v="10"/>
    <x v="2"/>
    <x v="1"/>
    <x v="1"/>
    <x v="0"/>
    <n v="20"/>
    <n v="15"/>
    <n v="15"/>
  </r>
  <r>
    <n v="3317"/>
    <s v="Zara Cunha"/>
    <x v="1"/>
    <x v="85"/>
    <s v="Yes"/>
    <n v="5"/>
    <x v="0"/>
    <x v="1"/>
    <x v="1"/>
    <x v="1"/>
    <n v="0"/>
    <n v="1"/>
    <n v="4"/>
  </r>
  <r>
    <n v="3318"/>
    <s v="Alan Teixeira"/>
    <x v="0"/>
    <x v="86"/>
    <s v="No"/>
    <n v="15"/>
    <x v="1"/>
    <x v="0"/>
    <x v="0"/>
    <x v="0"/>
    <n v="20"/>
    <n v="3"/>
    <n v="62"/>
  </r>
  <r>
    <n v="3319"/>
    <s v="Bárbara Oliveira"/>
    <x v="2"/>
    <x v="87"/>
    <s v="Yes"/>
    <n v="10"/>
    <x v="0"/>
    <x v="1"/>
    <x v="1"/>
    <x v="0"/>
    <n v="20"/>
    <n v="10"/>
    <n v="20"/>
  </r>
  <r>
    <n v="3320"/>
    <s v="Carlos Junqueira"/>
    <x v="1"/>
    <x v="88"/>
    <s v="No"/>
    <n v="5"/>
    <x v="2"/>
    <x v="1"/>
    <x v="1"/>
    <x v="1"/>
    <n v="0"/>
    <n v="0"/>
    <n v="5"/>
  </r>
  <r>
    <n v="3321"/>
    <s v="Daniela Moura"/>
    <x v="0"/>
    <x v="89"/>
    <s v="Yes"/>
    <n v="15"/>
    <x v="0"/>
    <x v="0"/>
    <x v="0"/>
    <x v="0"/>
    <n v="20"/>
    <n v="5"/>
    <n v="60"/>
  </r>
  <r>
    <n v="3322"/>
    <s v="Eduardo Lima"/>
    <x v="2"/>
    <x v="90"/>
    <s v="No"/>
    <n v="10"/>
    <x v="1"/>
    <x v="1"/>
    <x v="1"/>
    <x v="0"/>
    <n v="20"/>
    <n v="15"/>
    <n v="15"/>
  </r>
  <r>
    <n v="3323"/>
    <s v="Fabiana Araújo"/>
    <x v="1"/>
    <x v="91"/>
    <s v="Yes"/>
    <n v="5"/>
    <x v="0"/>
    <x v="1"/>
    <x v="1"/>
    <x v="1"/>
    <n v="0"/>
    <n v="1"/>
    <n v="4"/>
  </r>
  <r>
    <n v="3324"/>
    <s v="Geraldo Ribeiro"/>
    <x v="0"/>
    <x v="92"/>
    <s v="No"/>
    <n v="15"/>
    <x v="2"/>
    <x v="0"/>
    <x v="0"/>
    <x v="0"/>
    <n v="20"/>
    <n v="20"/>
    <n v="45"/>
  </r>
  <r>
    <n v="3325"/>
    <s v="Héctor Vargas"/>
    <x v="2"/>
    <x v="93"/>
    <s v="Yes"/>
    <n v="10"/>
    <x v="2"/>
    <x v="1"/>
    <x v="1"/>
    <x v="0"/>
    <n v="20"/>
    <n v="15"/>
    <n v="15"/>
  </r>
  <r>
    <n v="3326"/>
    <s v="Isabela Fonseca"/>
    <x v="1"/>
    <x v="94"/>
    <s v="No"/>
    <n v="5"/>
    <x v="1"/>
    <x v="1"/>
    <x v="1"/>
    <x v="1"/>
    <n v="0"/>
    <n v="0"/>
    <n v="5"/>
  </r>
  <r>
    <n v="3327"/>
    <s v="João Pedro Almeida"/>
    <x v="0"/>
    <x v="95"/>
    <s v="Yes"/>
    <n v="15"/>
    <x v="0"/>
    <x v="0"/>
    <x v="0"/>
    <x v="0"/>
    <n v="20"/>
    <n v="7"/>
    <n v="58"/>
  </r>
  <r>
    <n v="3328"/>
    <s v="Klara Costa"/>
    <x v="2"/>
    <x v="96"/>
    <s v="No"/>
    <n v="10"/>
    <x v="1"/>
    <x v="1"/>
    <x v="1"/>
    <x v="0"/>
    <n v="20"/>
    <n v="10"/>
    <n v="20"/>
  </r>
  <r>
    <n v="3329"/>
    <s v="Luciana Mendes"/>
    <x v="1"/>
    <x v="97"/>
    <s v="Yes"/>
    <n v="5"/>
    <x v="2"/>
    <x v="1"/>
    <x v="1"/>
    <x v="1"/>
    <n v="0"/>
    <n v="1"/>
    <n v="4"/>
  </r>
  <r>
    <n v="3330"/>
    <s v="Marcelo Gouveia"/>
    <x v="0"/>
    <x v="98"/>
    <s v="No"/>
    <n v="15"/>
    <x v="0"/>
    <x v="0"/>
    <x v="0"/>
    <x v="0"/>
    <n v="20"/>
    <n v="15"/>
    <n v="50"/>
  </r>
  <r>
    <n v="3331"/>
    <s v="Nívea Borges"/>
    <x v="2"/>
    <x v="99"/>
    <s v="Yes"/>
    <n v="10"/>
    <x v="0"/>
    <x v="1"/>
    <x v="1"/>
    <x v="0"/>
    <n v="20"/>
    <n v="5"/>
    <n v="25"/>
  </r>
  <r>
    <n v="3332"/>
    <s v="Oscar Nogueira"/>
    <x v="1"/>
    <x v="100"/>
    <s v="No"/>
    <n v="5"/>
    <x v="1"/>
    <x v="1"/>
    <x v="1"/>
    <x v="1"/>
    <n v="0"/>
    <n v="0"/>
    <n v="5"/>
  </r>
  <r>
    <n v="3333"/>
    <s v="Patrícia Alves"/>
    <x v="0"/>
    <x v="101"/>
    <s v="Yes"/>
    <n v="15"/>
    <x v="2"/>
    <x v="0"/>
    <x v="0"/>
    <x v="0"/>
    <n v="20"/>
    <n v="20"/>
    <n v="45"/>
  </r>
  <r>
    <n v="3334"/>
    <s v="Rafaela Silva"/>
    <x v="2"/>
    <x v="102"/>
    <s v="No"/>
    <n v="10"/>
    <x v="2"/>
    <x v="1"/>
    <x v="1"/>
    <x v="0"/>
    <n v="20"/>
    <n v="12"/>
    <n v="18"/>
  </r>
  <r>
    <n v="3335"/>
    <s v="Samantha Moraes"/>
    <x v="1"/>
    <x v="103"/>
    <s v="Yes"/>
    <n v="5"/>
    <x v="0"/>
    <x v="1"/>
    <x v="1"/>
    <x v="1"/>
    <n v="0"/>
    <n v="2"/>
    <n v="3"/>
  </r>
  <r>
    <n v="3336"/>
    <s v="Tatiana Rocha"/>
    <x v="1"/>
    <x v="104"/>
    <s v="Yes"/>
    <n v="5"/>
    <x v="0"/>
    <x v="1"/>
    <x v="1"/>
    <x v="1"/>
    <n v="0"/>
    <n v="0"/>
    <n v="5"/>
  </r>
  <r>
    <n v="3337"/>
    <s v="Ulisses Tavares"/>
    <x v="0"/>
    <x v="105"/>
    <s v="No"/>
    <n v="15"/>
    <x v="2"/>
    <x v="0"/>
    <x v="0"/>
    <x v="0"/>
    <n v="20"/>
    <n v="7"/>
    <n v="58"/>
  </r>
  <r>
    <n v="3338"/>
    <s v="Víctor Lemos"/>
    <x v="2"/>
    <x v="106"/>
    <s v="Yes"/>
    <n v="10"/>
    <x v="1"/>
    <x v="1"/>
    <x v="1"/>
    <x v="0"/>
    <n v="20"/>
    <n v="10"/>
    <n v="20"/>
  </r>
  <r>
    <n v="3339"/>
    <s v="Wilma Barros"/>
    <x v="1"/>
    <x v="107"/>
    <s v="No"/>
    <n v="5"/>
    <x v="2"/>
    <x v="1"/>
    <x v="1"/>
    <x v="1"/>
    <n v="0"/>
    <n v="1"/>
    <n v="4"/>
  </r>
  <r>
    <n v="3340"/>
    <s v="Xavier Nascimento"/>
    <x v="0"/>
    <x v="108"/>
    <s v="Yes"/>
    <n v="15"/>
    <x v="0"/>
    <x v="0"/>
    <x v="0"/>
    <x v="0"/>
    <n v="20"/>
    <n v="15"/>
    <n v="50"/>
  </r>
  <r>
    <n v="3341"/>
    <s v="Yago Pereira"/>
    <x v="2"/>
    <x v="109"/>
    <s v="No"/>
    <n v="10"/>
    <x v="0"/>
    <x v="1"/>
    <x v="1"/>
    <x v="0"/>
    <n v="20"/>
    <n v="5"/>
    <n v="25"/>
  </r>
  <r>
    <n v="3342"/>
    <s v="Zilda Ferreira"/>
    <x v="1"/>
    <x v="110"/>
    <s v="Yes"/>
    <n v="5"/>
    <x v="1"/>
    <x v="1"/>
    <x v="1"/>
    <x v="1"/>
    <n v="0"/>
    <n v="0"/>
    <n v="5"/>
  </r>
  <r>
    <n v="3343"/>
    <s v="Amanda Lopes"/>
    <x v="0"/>
    <x v="111"/>
    <s v="No"/>
    <n v="15"/>
    <x v="2"/>
    <x v="0"/>
    <x v="0"/>
    <x v="0"/>
    <n v="20"/>
    <n v="20"/>
    <n v="45"/>
  </r>
  <r>
    <n v="3344"/>
    <s v="Bruno Miranda"/>
    <x v="2"/>
    <x v="112"/>
    <s v="Yes"/>
    <n v="10"/>
    <x v="2"/>
    <x v="1"/>
    <x v="1"/>
    <x v="0"/>
    <n v="20"/>
    <n v="12"/>
    <n v="18"/>
  </r>
  <r>
    <n v="3345"/>
    <s v="Célia Torres"/>
    <x v="1"/>
    <x v="113"/>
    <s v="No"/>
    <n v="5"/>
    <x v="0"/>
    <x v="1"/>
    <x v="1"/>
    <x v="1"/>
    <n v="0"/>
    <n v="2"/>
    <n v="3"/>
  </r>
  <r>
    <n v="3346"/>
    <s v="Diogo Souza"/>
    <x v="0"/>
    <x v="114"/>
    <s v="Yes"/>
    <n v="15"/>
    <x v="1"/>
    <x v="0"/>
    <x v="0"/>
    <x v="0"/>
    <n v="20"/>
    <n v="5"/>
    <n v="60"/>
  </r>
  <r>
    <n v="3347"/>
    <s v="Elisa Castro"/>
    <x v="2"/>
    <x v="115"/>
    <s v="No"/>
    <n v="10"/>
    <x v="0"/>
    <x v="1"/>
    <x v="1"/>
    <x v="0"/>
    <n v="20"/>
    <n v="10"/>
    <n v="20"/>
  </r>
  <r>
    <n v="3348"/>
    <s v="Fátima Lima"/>
    <x v="1"/>
    <x v="116"/>
    <s v="Yes"/>
    <n v="5"/>
    <x v="2"/>
    <x v="1"/>
    <x v="1"/>
    <x v="1"/>
    <n v="0"/>
    <n v="0"/>
    <n v="5"/>
  </r>
  <r>
    <n v="3349"/>
    <s v="Geraldo Ribeiro"/>
    <x v="0"/>
    <x v="117"/>
    <s v="No"/>
    <n v="15"/>
    <x v="0"/>
    <x v="0"/>
    <x v="0"/>
    <x v="0"/>
    <n v="20"/>
    <n v="3"/>
    <n v="62"/>
  </r>
  <r>
    <n v="3350"/>
    <s v="Hélio Martins"/>
    <x v="2"/>
    <x v="118"/>
    <s v="Yes"/>
    <n v="10"/>
    <x v="1"/>
    <x v="1"/>
    <x v="1"/>
    <x v="0"/>
    <n v="20"/>
    <n v="15"/>
    <n v="15"/>
  </r>
  <r>
    <n v="3351"/>
    <s v="Íris Santos"/>
    <x v="1"/>
    <x v="119"/>
    <s v="No"/>
    <n v="5"/>
    <x v="0"/>
    <x v="1"/>
    <x v="1"/>
    <x v="1"/>
    <n v="0"/>
    <n v="1"/>
    <n v="4"/>
  </r>
  <r>
    <n v="3352"/>
    <s v="João Marcelo"/>
    <x v="0"/>
    <x v="120"/>
    <s v="Yes"/>
    <n v="15"/>
    <x v="2"/>
    <x v="0"/>
    <x v="0"/>
    <x v="0"/>
    <n v="20"/>
    <n v="7"/>
    <n v="58"/>
  </r>
  <r>
    <n v="3353"/>
    <s v="Larissa Gomes"/>
    <x v="2"/>
    <x v="121"/>
    <s v="No"/>
    <n v="10"/>
    <x v="0"/>
    <x v="1"/>
    <x v="1"/>
    <x v="0"/>
    <n v="20"/>
    <n v="10"/>
    <n v="20"/>
  </r>
  <r>
    <n v="3354"/>
    <s v="Márcio Silva"/>
    <x v="1"/>
    <x v="122"/>
    <s v="Yes"/>
    <n v="5"/>
    <x v="1"/>
    <x v="1"/>
    <x v="1"/>
    <x v="1"/>
    <n v="0"/>
    <n v="0"/>
    <n v="5"/>
  </r>
  <r>
    <n v="3355"/>
    <s v="Nadia Costa"/>
    <x v="0"/>
    <x v="123"/>
    <s v="No"/>
    <n v="15"/>
    <x v="0"/>
    <x v="0"/>
    <x v="0"/>
    <x v="0"/>
    <n v="20"/>
    <n v="20"/>
    <n v="45"/>
  </r>
  <r>
    <n v="3356"/>
    <s v="Oscar Almeida"/>
    <x v="2"/>
    <x v="124"/>
    <s v="Yes"/>
    <n v="10"/>
    <x v="2"/>
    <x v="1"/>
    <x v="1"/>
    <x v="0"/>
    <n v="20"/>
    <n v="15"/>
    <n v="15"/>
  </r>
  <r>
    <n v="3357"/>
    <s v="Patricia Soares"/>
    <x v="1"/>
    <x v="125"/>
    <s v="No"/>
    <n v="5"/>
    <x v="0"/>
    <x v="1"/>
    <x v="1"/>
    <x v="1"/>
    <n v="0"/>
    <n v="1"/>
    <n v="4"/>
  </r>
  <r>
    <n v="3358"/>
    <s v="Quênia Barros"/>
    <x v="0"/>
    <x v="126"/>
    <s v="Yes"/>
    <n v="15"/>
    <x v="1"/>
    <x v="0"/>
    <x v="0"/>
    <x v="0"/>
    <n v="20"/>
    <n v="3"/>
    <n v="62"/>
  </r>
  <r>
    <n v="3359"/>
    <s v="Rafael Torres"/>
    <x v="2"/>
    <x v="127"/>
    <s v="No"/>
    <n v="10"/>
    <x v="0"/>
    <x v="1"/>
    <x v="1"/>
    <x v="0"/>
    <n v="20"/>
    <n v="10"/>
    <n v="20"/>
  </r>
  <r>
    <n v="3360"/>
    <s v="Silvia Nascimento"/>
    <x v="1"/>
    <x v="128"/>
    <s v="Yes"/>
    <n v="5"/>
    <x v="2"/>
    <x v="1"/>
    <x v="1"/>
    <x v="1"/>
    <n v="0"/>
    <n v="0"/>
    <n v="5"/>
  </r>
  <r>
    <n v="3361"/>
    <s v="Tiago Mendes"/>
    <x v="0"/>
    <x v="129"/>
    <s v="No"/>
    <n v="15"/>
    <x v="0"/>
    <x v="0"/>
    <x v="0"/>
    <x v="0"/>
    <n v="20"/>
    <n v="15"/>
    <n v="50"/>
  </r>
  <r>
    <n v="3362"/>
    <s v="Ursula Silva"/>
    <x v="2"/>
    <x v="130"/>
    <s v="Yes"/>
    <n v="10"/>
    <x v="1"/>
    <x v="1"/>
    <x v="1"/>
    <x v="0"/>
    <n v="20"/>
    <n v="15"/>
    <n v="15"/>
  </r>
  <r>
    <n v="3363"/>
    <s v="Vanessa Moraes"/>
    <x v="1"/>
    <x v="131"/>
    <s v="No"/>
    <n v="5"/>
    <x v="0"/>
    <x v="1"/>
    <x v="1"/>
    <x v="1"/>
    <n v="0"/>
    <n v="1"/>
    <n v="4"/>
  </r>
  <r>
    <n v="3364"/>
    <s v="Waldir Junior"/>
    <x v="0"/>
    <x v="132"/>
    <s v="Yes"/>
    <n v="15"/>
    <x v="2"/>
    <x v="0"/>
    <x v="0"/>
    <x v="0"/>
    <n v="20"/>
    <n v="7"/>
    <n v="58"/>
  </r>
  <r>
    <n v="3365"/>
    <s v="Xavier Lopes"/>
    <x v="2"/>
    <x v="133"/>
    <s v="No"/>
    <n v="10"/>
    <x v="0"/>
    <x v="1"/>
    <x v="1"/>
    <x v="0"/>
    <n v="20"/>
    <n v="10"/>
    <n v="20"/>
  </r>
  <r>
    <n v="3366"/>
    <s v="Yolanda Freitas"/>
    <x v="1"/>
    <x v="134"/>
    <s v="Yes"/>
    <n v="5"/>
    <x v="0"/>
    <x v="1"/>
    <x v="1"/>
    <x v="1"/>
    <n v="0"/>
    <n v="0"/>
    <n v="5"/>
  </r>
  <r>
    <n v="3367"/>
    <s v="Zacarias Nunes"/>
    <x v="0"/>
    <x v="135"/>
    <s v="No"/>
    <n v="15"/>
    <x v="2"/>
    <x v="0"/>
    <x v="0"/>
    <x v="0"/>
    <n v="20"/>
    <n v="7"/>
    <n v="58"/>
  </r>
  <r>
    <n v="3368"/>
    <s v="Ana Clara Barreto"/>
    <x v="2"/>
    <x v="136"/>
    <s v="Yes"/>
    <n v="10"/>
    <x v="1"/>
    <x v="1"/>
    <x v="1"/>
    <x v="0"/>
    <n v="20"/>
    <n v="10"/>
    <n v="20"/>
  </r>
  <r>
    <n v="3369"/>
    <s v="Bruno Henrique"/>
    <x v="1"/>
    <x v="137"/>
    <s v="No"/>
    <n v="5"/>
    <x v="2"/>
    <x v="1"/>
    <x v="1"/>
    <x v="1"/>
    <n v="0"/>
    <n v="1"/>
    <n v="4"/>
  </r>
  <r>
    <n v="3370"/>
    <s v="Carlos Eduardo"/>
    <x v="0"/>
    <x v="138"/>
    <s v="Yes"/>
    <n v="15"/>
    <x v="0"/>
    <x v="0"/>
    <x v="0"/>
    <x v="0"/>
    <n v="20"/>
    <n v="15"/>
    <n v="50"/>
  </r>
  <r>
    <n v="3371"/>
    <s v="Débora Lima"/>
    <x v="2"/>
    <x v="139"/>
    <s v="No"/>
    <n v="10"/>
    <x v="0"/>
    <x v="1"/>
    <x v="1"/>
    <x v="0"/>
    <n v="20"/>
    <n v="5"/>
    <n v="25"/>
  </r>
  <r>
    <n v="3372"/>
    <s v="Elisa Neves"/>
    <x v="1"/>
    <x v="140"/>
    <s v="Yes"/>
    <n v="5"/>
    <x v="1"/>
    <x v="1"/>
    <x v="1"/>
    <x v="1"/>
    <n v="0"/>
    <n v="0"/>
    <n v="5"/>
  </r>
  <r>
    <n v="3373"/>
    <s v="Fabiano Gomes"/>
    <x v="0"/>
    <x v="141"/>
    <s v="No"/>
    <n v="15"/>
    <x v="2"/>
    <x v="0"/>
    <x v="0"/>
    <x v="0"/>
    <n v="20"/>
    <n v="20"/>
    <n v="45"/>
  </r>
  <r>
    <n v="3374"/>
    <s v="Gisele Oliveira"/>
    <x v="2"/>
    <x v="142"/>
    <s v="Yes"/>
    <n v="10"/>
    <x v="2"/>
    <x v="1"/>
    <x v="1"/>
    <x v="0"/>
    <n v="20"/>
    <n v="12"/>
    <n v="18"/>
  </r>
  <r>
    <n v="3375"/>
    <s v="Héctor Silva"/>
    <x v="1"/>
    <x v="143"/>
    <s v="No"/>
    <n v="5"/>
    <x v="0"/>
    <x v="1"/>
    <x v="1"/>
    <x v="1"/>
    <n v="0"/>
    <n v="2"/>
    <n v="3"/>
  </r>
  <r>
    <n v="3376"/>
    <s v="Igor Martins"/>
    <x v="0"/>
    <x v="144"/>
    <s v="Yes"/>
    <n v="15"/>
    <x v="1"/>
    <x v="0"/>
    <x v="0"/>
    <x v="0"/>
    <n v="20"/>
    <n v="5"/>
    <n v="60"/>
  </r>
  <r>
    <n v="3377"/>
    <s v="Joana Figueiredo"/>
    <x v="2"/>
    <x v="145"/>
    <s v="No"/>
    <n v="10"/>
    <x v="0"/>
    <x v="1"/>
    <x v="1"/>
    <x v="0"/>
    <n v="20"/>
    <n v="10"/>
    <n v="20"/>
  </r>
  <r>
    <n v="3378"/>
    <s v="Kleber Machado"/>
    <x v="1"/>
    <x v="146"/>
    <s v="Yes"/>
    <n v="5"/>
    <x v="2"/>
    <x v="1"/>
    <x v="1"/>
    <x v="1"/>
    <n v="0"/>
    <n v="0"/>
    <n v="5"/>
  </r>
  <r>
    <n v="3379"/>
    <s v="Luciana Santos"/>
    <x v="0"/>
    <x v="147"/>
    <s v="No"/>
    <n v="15"/>
    <x v="0"/>
    <x v="0"/>
    <x v="0"/>
    <x v="0"/>
    <n v="20"/>
    <n v="3"/>
    <n v="62"/>
  </r>
  <r>
    <n v="3380"/>
    <s v="Marcos Teixeira"/>
    <x v="2"/>
    <x v="148"/>
    <s v="Yes"/>
    <n v="10"/>
    <x v="1"/>
    <x v="1"/>
    <x v="1"/>
    <x v="0"/>
    <n v="20"/>
    <n v="15"/>
    <n v="15"/>
  </r>
  <r>
    <n v="3381"/>
    <s v="Natalia Costa"/>
    <x v="1"/>
    <x v="149"/>
    <s v="No"/>
    <n v="5"/>
    <x v="0"/>
    <x v="1"/>
    <x v="1"/>
    <x v="1"/>
    <n v="0"/>
    <n v="1"/>
    <n v="4"/>
  </r>
  <r>
    <n v="3382"/>
    <s v="Oscar Ribeiro"/>
    <x v="0"/>
    <x v="150"/>
    <s v="Yes"/>
    <n v="15"/>
    <x v="2"/>
    <x v="0"/>
    <x v="0"/>
    <x v="0"/>
    <n v="20"/>
    <n v="7"/>
    <n v="58"/>
  </r>
  <r>
    <n v="3383"/>
    <s v="Patricia Almeida"/>
    <x v="2"/>
    <x v="151"/>
    <s v="No"/>
    <n v="10"/>
    <x v="0"/>
    <x v="1"/>
    <x v="1"/>
    <x v="0"/>
    <n v="20"/>
    <n v="10"/>
    <n v="20"/>
  </r>
  <r>
    <n v="3384"/>
    <s v="Quirino Junior"/>
    <x v="1"/>
    <x v="152"/>
    <s v="Yes"/>
    <n v="5"/>
    <x v="1"/>
    <x v="1"/>
    <x v="1"/>
    <x v="1"/>
    <n v="0"/>
    <n v="0"/>
    <n v="5"/>
  </r>
  <r>
    <n v="3385"/>
    <s v="Renata Machado"/>
    <x v="0"/>
    <x v="153"/>
    <s v="No"/>
    <n v="15"/>
    <x v="0"/>
    <x v="0"/>
    <x v="0"/>
    <x v="0"/>
    <n v="20"/>
    <n v="20"/>
    <n v="45"/>
  </r>
  <r>
    <n v="3386"/>
    <s v="Sônia Alves"/>
    <x v="2"/>
    <x v="154"/>
    <s v="Yes"/>
    <n v="10"/>
    <x v="2"/>
    <x v="1"/>
    <x v="1"/>
    <x v="0"/>
    <n v="20"/>
    <n v="15"/>
    <n v="15"/>
  </r>
  <r>
    <n v="3387"/>
    <s v="Tiago Nunes"/>
    <x v="1"/>
    <x v="155"/>
    <s v="No"/>
    <n v="5"/>
    <x v="0"/>
    <x v="1"/>
    <x v="1"/>
    <x v="1"/>
    <n v="0"/>
    <n v="1"/>
    <n v="4"/>
  </r>
  <r>
    <n v="3388"/>
    <s v="Ulysses Pereira"/>
    <x v="0"/>
    <x v="156"/>
    <s v="Yes"/>
    <n v="15"/>
    <x v="1"/>
    <x v="0"/>
    <x v="0"/>
    <x v="0"/>
    <n v="20"/>
    <n v="3"/>
    <n v="62"/>
  </r>
  <r>
    <n v="3389"/>
    <s v="Vanessa Lima"/>
    <x v="2"/>
    <x v="157"/>
    <s v="No"/>
    <n v="10"/>
    <x v="0"/>
    <x v="1"/>
    <x v="1"/>
    <x v="0"/>
    <n v="20"/>
    <n v="10"/>
    <n v="20"/>
  </r>
  <r>
    <n v="3390"/>
    <s v="Wagner Santos"/>
    <x v="1"/>
    <x v="158"/>
    <s v="Yes"/>
    <n v="5"/>
    <x v="2"/>
    <x v="1"/>
    <x v="1"/>
    <x v="1"/>
    <n v="0"/>
    <n v="0"/>
    <n v="5"/>
  </r>
  <r>
    <n v="3391"/>
    <s v="Xuxa Meneghel"/>
    <x v="0"/>
    <x v="159"/>
    <s v="No"/>
    <n v="15"/>
    <x v="0"/>
    <x v="0"/>
    <x v="0"/>
    <x v="0"/>
    <n v="20"/>
    <n v="15"/>
    <n v="50"/>
  </r>
  <r>
    <n v="3392"/>
    <s v="Yasmin Silva"/>
    <x v="2"/>
    <x v="160"/>
    <s v="Yes"/>
    <n v="10"/>
    <x v="1"/>
    <x v="1"/>
    <x v="1"/>
    <x v="0"/>
    <n v="20"/>
    <n v="15"/>
    <n v="15"/>
  </r>
  <r>
    <n v="3393"/>
    <s v="Zacarias de Souza"/>
    <x v="1"/>
    <x v="161"/>
    <s v="No"/>
    <n v="5"/>
    <x v="0"/>
    <x v="1"/>
    <x v="1"/>
    <x v="1"/>
    <n v="0"/>
    <n v="1"/>
    <n v="4"/>
  </r>
  <r>
    <n v="3394"/>
    <s v="André Lima"/>
    <x v="0"/>
    <x v="162"/>
    <s v="Yes"/>
    <n v="15"/>
    <x v="2"/>
    <x v="0"/>
    <x v="0"/>
    <x v="0"/>
    <n v="20"/>
    <n v="7"/>
    <n v="58"/>
  </r>
  <r>
    <n v="3395"/>
    <s v="Bianca Freitas"/>
    <x v="2"/>
    <x v="163"/>
    <s v="No"/>
    <n v="10"/>
    <x v="0"/>
    <x v="1"/>
    <x v="1"/>
    <x v="0"/>
    <n v="20"/>
    <n v="10"/>
    <n v="20"/>
  </r>
  <r>
    <n v="3396"/>
    <s v="Caio Mendes"/>
    <x v="1"/>
    <x v="164"/>
    <s v="Yes"/>
    <n v="5"/>
    <x v="1"/>
    <x v="1"/>
    <x v="1"/>
    <x v="1"/>
    <n v="0"/>
    <n v="0"/>
    <n v="5"/>
  </r>
  <r>
    <n v="3397"/>
    <s v="Daniela Moura"/>
    <x v="0"/>
    <x v="165"/>
    <s v="No"/>
    <n v="15"/>
    <x v="0"/>
    <x v="0"/>
    <x v="0"/>
    <x v="0"/>
    <n v="20"/>
    <n v="20"/>
    <n v="45"/>
  </r>
  <r>
    <n v="3398"/>
    <s v="Eduardo Costa"/>
    <x v="2"/>
    <x v="166"/>
    <s v="Yes"/>
    <n v="10"/>
    <x v="2"/>
    <x v="1"/>
    <x v="1"/>
    <x v="0"/>
    <n v="20"/>
    <n v="15"/>
    <n v="15"/>
  </r>
  <r>
    <n v="3399"/>
    <s v="Fernanda Gomes"/>
    <x v="1"/>
    <x v="167"/>
    <s v="No"/>
    <n v="5"/>
    <x v="0"/>
    <x v="1"/>
    <x v="1"/>
    <x v="1"/>
    <n v="0"/>
    <n v="1"/>
    <n v="4"/>
  </r>
  <r>
    <n v="3400"/>
    <s v="Guilherme Souza"/>
    <x v="0"/>
    <x v="168"/>
    <s v="Yes"/>
    <n v="15"/>
    <x v="1"/>
    <x v="0"/>
    <x v="0"/>
    <x v="0"/>
    <n v="20"/>
    <n v="5"/>
    <n v="60"/>
  </r>
  <r>
    <n v="3401"/>
    <s v="Helena Ribeiro"/>
    <x v="2"/>
    <x v="169"/>
    <s v="No"/>
    <n v="10"/>
    <x v="0"/>
    <x v="1"/>
    <x v="1"/>
    <x v="0"/>
    <n v="20"/>
    <n v="10"/>
    <n v="20"/>
  </r>
  <r>
    <n v="3402"/>
    <s v="Igor Santos"/>
    <x v="1"/>
    <x v="170"/>
    <s v="Yes"/>
    <n v="5"/>
    <x v="2"/>
    <x v="1"/>
    <x v="1"/>
    <x v="1"/>
    <n v="0"/>
    <n v="0"/>
    <n v="5"/>
  </r>
  <r>
    <n v="3403"/>
    <s v="João Carvalho"/>
    <x v="0"/>
    <x v="171"/>
    <s v="No"/>
    <n v="15"/>
    <x v="0"/>
    <x v="0"/>
    <x v="0"/>
    <x v="0"/>
    <n v="20"/>
    <n v="3"/>
    <n v="62"/>
  </r>
  <r>
    <n v="3404"/>
    <s v="Klara Fagundes"/>
    <x v="2"/>
    <x v="172"/>
    <s v="Yes"/>
    <n v="10"/>
    <x v="1"/>
    <x v="1"/>
    <x v="1"/>
    <x v="0"/>
    <n v="20"/>
    <n v="15"/>
    <n v="15"/>
  </r>
  <r>
    <n v="3405"/>
    <s v="Lúcia Mendonça"/>
    <x v="1"/>
    <x v="173"/>
    <s v="No"/>
    <n v="5"/>
    <x v="0"/>
    <x v="1"/>
    <x v="1"/>
    <x v="1"/>
    <n v="0"/>
    <n v="1"/>
    <n v="4"/>
  </r>
  <r>
    <n v="3406"/>
    <s v="Marcelo Novaes"/>
    <x v="1"/>
    <x v="174"/>
    <s v="Yes"/>
    <n v="5"/>
    <x v="0"/>
    <x v="1"/>
    <x v="1"/>
    <x v="1"/>
    <n v="0"/>
    <n v="0"/>
    <n v="5"/>
  </r>
  <r>
    <n v="3407"/>
    <s v="Nina Pacheco"/>
    <x v="0"/>
    <x v="175"/>
    <s v="No"/>
    <n v="15"/>
    <x v="2"/>
    <x v="0"/>
    <x v="0"/>
    <x v="0"/>
    <n v="20"/>
    <n v="7"/>
    <n v="58"/>
  </r>
  <r>
    <n v="3408"/>
    <s v="Olívia Rios"/>
    <x v="2"/>
    <x v="176"/>
    <s v="Yes"/>
    <n v="10"/>
    <x v="1"/>
    <x v="1"/>
    <x v="1"/>
    <x v="0"/>
    <n v="20"/>
    <n v="10"/>
    <n v="20"/>
  </r>
  <r>
    <n v="3409"/>
    <s v="Paulo Quintana"/>
    <x v="1"/>
    <x v="177"/>
    <s v="No"/>
    <n v="5"/>
    <x v="2"/>
    <x v="1"/>
    <x v="1"/>
    <x v="1"/>
    <n v="0"/>
    <n v="1"/>
    <n v="4"/>
  </r>
  <r>
    <n v="3410"/>
    <s v="Raquel Domingos"/>
    <x v="0"/>
    <x v="178"/>
    <s v="Yes"/>
    <n v="15"/>
    <x v="0"/>
    <x v="0"/>
    <x v="0"/>
    <x v="0"/>
    <n v="20"/>
    <n v="15"/>
    <n v="50"/>
  </r>
  <r>
    <n v="3411"/>
    <s v="Samuel Viana"/>
    <x v="2"/>
    <x v="179"/>
    <s v="No"/>
    <n v="10"/>
    <x v="0"/>
    <x v="1"/>
    <x v="1"/>
    <x v="0"/>
    <n v="20"/>
    <n v="5"/>
    <n v="25"/>
  </r>
  <r>
    <n v="3412"/>
    <s v="Tatiane Rocha"/>
    <x v="1"/>
    <x v="180"/>
    <s v="Yes"/>
    <n v="5"/>
    <x v="1"/>
    <x v="1"/>
    <x v="1"/>
    <x v="1"/>
    <n v="0"/>
    <n v="0"/>
    <n v="5"/>
  </r>
  <r>
    <n v="3413"/>
    <s v="Ulysses Farias"/>
    <x v="0"/>
    <x v="181"/>
    <s v="No"/>
    <n v="15"/>
    <x v="2"/>
    <x v="0"/>
    <x v="0"/>
    <x v="0"/>
    <n v="20"/>
    <n v="20"/>
    <n v="45"/>
  </r>
  <r>
    <n v="3414"/>
    <s v="Vanessa Moreira"/>
    <x v="2"/>
    <x v="182"/>
    <s v="Yes"/>
    <n v="10"/>
    <x v="2"/>
    <x v="1"/>
    <x v="1"/>
    <x v="0"/>
    <n v="20"/>
    <n v="12"/>
    <n v="18"/>
  </r>
  <r>
    <n v="3415"/>
    <s v="William Carvalho"/>
    <x v="1"/>
    <x v="183"/>
    <s v="No"/>
    <n v="5"/>
    <x v="0"/>
    <x v="1"/>
    <x v="1"/>
    <x v="1"/>
    <n v="0"/>
    <n v="2"/>
    <n v="3"/>
  </r>
  <r>
    <n v="3416"/>
    <s v="Ximena Barros"/>
    <x v="0"/>
    <x v="184"/>
    <s v="Yes"/>
    <n v="15"/>
    <x v="1"/>
    <x v="0"/>
    <x v="0"/>
    <x v="0"/>
    <n v="20"/>
    <n v="5"/>
    <n v="60"/>
  </r>
  <r>
    <n v="3417"/>
    <s v="Yara Machado"/>
    <x v="2"/>
    <x v="185"/>
    <s v="No"/>
    <n v="10"/>
    <x v="0"/>
    <x v="1"/>
    <x v="1"/>
    <x v="0"/>
    <n v="20"/>
    <n v="10"/>
    <n v="20"/>
  </r>
  <r>
    <n v="3418"/>
    <s v="Zacarias Costa"/>
    <x v="1"/>
    <x v="186"/>
    <s v="Yes"/>
    <n v="5"/>
    <x v="2"/>
    <x v="1"/>
    <x v="1"/>
    <x v="1"/>
    <n v="0"/>
    <n v="0"/>
    <n v="5"/>
  </r>
  <r>
    <n v="3419"/>
    <s v="André Lopes"/>
    <x v="0"/>
    <x v="187"/>
    <s v="No"/>
    <n v="15"/>
    <x v="0"/>
    <x v="0"/>
    <x v="0"/>
    <x v="0"/>
    <n v="20"/>
    <n v="3"/>
    <n v="62"/>
  </r>
  <r>
    <n v="3420"/>
    <s v="Beatriz Souza"/>
    <x v="2"/>
    <x v="188"/>
    <s v="Yes"/>
    <n v="10"/>
    <x v="1"/>
    <x v="1"/>
    <x v="1"/>
    <x v="0"/>
    <n v="20"/>
    <n v="15"/>
    <n v="15"/>
  </r>
  <r>
    <n v="3421"/>
    <s v="Caio Pereira"/>
    <x v="1"/>
    <x v="189"/>
    <s v="No"/>
    <n v="5"/>
    <x v="0"/>
    <x v="1"/>
    <x v="1"/>
    <x v="1"/>
    <n v="0"/>
    <n v="1"/>
    <n v="4"/>
  </r>
  <r>
    <n v="3422"/>
    <s v="Daniela Araújo"/>
    <x v="0"/>
    <x v="190"/>
    <s v="Yes"/>
    <n v="15"/>
    <x v="2"/>
    <x v="0"/>
    <x v="0"/>
    <x v="0"/>
    <n v="20"/>
    <n v="7"/>
    <n v="58"/>
  </r>
  <r>
    <n v="3423"/>
    <s v="Eduardo Santos"/>
    <x v="2"/>
    <x v="191"/>
    <s v="No"/>
    <n v="10"/>
    <x v="0"/>
    <x v="1"/>
    <x v="1"/>
    <x v="0"/>
    <n v="20"/>
    <n v="10"/>
    <n v="20"/>
  </r>
  <r>
    <n v="3424"/>
    <s v="Fernanda Lima"/>
    <x v="1"/>
    <x v="192"/>
    <s v="Yes"/>
    <n v="5"/>
    <x v="1"/>
    <x v="1"/>
    <x v="1"/>
    <x v="1"/>
    <n v="0"/>
    <n v="0"/>
    <n v="5"/>
  </r>
  <r>
    <n v="3425"/>
    <s v="Gabriel Teixeira"/>
    <x v="0"/>
    <x v="193"/>
    <s v="No"/>
    <n v="15"/>
    <x v="0"/>
    <x v="0"/>
    <x v="0"/>
    <x v="0"/>
    <n v="20"/>
    <n v="20"/>
    <n v="45"/>
  </r>
  <r>
    <n v="3426"/>
    <s v="Helena Ribeiro"/>
    <x v="2"/>
    <x v="194"/>
    <s v="Yes"/>
    <n v="10"/>
    <x v="2"/>
    <x v="1"/>
    <x v="1"/>
    <x v="0"/>
    <n v="20"/>
    <n v="15"/>
    <n v="15"/>
  </r>
  <r>
    <n v="3427"/>
    <s v="Igor Mendes"/>
    <x v="1"/>
    <x v="195"/>
    <s v="No"/>
    <n v="5"/>
    <x v="0"/>
    <x v="1"/>
    <x v="1"/>
    <x v="1"/>
    <n v="0"/>
    <n v="1"/>
    <n v="4"/>
  </r>
  <r>
    <n v="3428"/>
    <s v="Joana Silveira"/>
    <x v="0"/>
    <x v="196"/>
    <s v="Yes"/>
    <n v="15"/>
    <x v="1"/>
    <x v="0"/>
    <x v="0"/>
    <x v="0"/>
    <n v="20"/>
    <n v="3"/>
    <n v="62"/>
  </r>
  <r>
    <n v="3429"/>
    <s v="Lucas Martins"/>
    <x v="2"/>
    <x v="197"/>
    <s v="No"/>
    <n v="10"/>
    <x v="0"/>
    <x v="1"/>
    <x v="1"/>
    <x v="0"/>
    <n v="20"/>
    <n v="10"/>
    <n v="20"/>
  </r>
  <r>
    <n v="3430"/>
    <s v="Marcela Gouveia"/>
    <x v="1"/>
    <x v="198"/>
    <s v="Yes"/>
    <n v="5"/>
    <x v="2"/>
    <x v="1"/>
    <x v="1"/>
    <x v="1"/>
    <n v="0"/>
    <n v="0"/>
    <n v="5"/>
  </r>
  <r>
    <n v="3431"/>
    <s v="Nicolas Borges"/>
    <x v="0"/>
    <x v="199"/>
    <s v="No"/>
    <n v="15"/>
    <x v="0"/>
    <x v="0"/>
    <x v="0"/>
    <x v="0"/>
    <n v="20"/>
    <n v="15"/>
    <n v="50"/>
  </r>
  <r>
    <n v="3432"/>
    <s v="Olivia Freitas"/>
    <x v="2"/>
    <x v="200"/>
    <s v="Yes"/>
    <n v="10"/>
    <x v="1"/>
    <x v="1"/>
    <x v="1"/>
    <x v="0"/>
    <n v="20"/>
    <n v="15"/>
    <n v="15"/>
  </r>
  <r>
    <n v="3433"/>
    <s v="Paulo Nogueira"/>
    <x v="1"/>
    <x v="201"/>
    <s v="No"/>
    <n v="5"/>
    <x v="0"/>
    <x v="1"/>
    <x v="1"/>
    <x v="1"/>
    <n v="0"/>
    <n v="1"/>
    <n v="4"/>
  </r>
  <r>
    <n v="3434"/>
    <s v="Raquel Andrade"/>
    <x v="0"/>
    <x v="202"/>
    <s v="Yes"/>
    <n v="15"/>
    <x v="2"/>
    <x v="0"/>
    <x v="0"/>
    <x v="0"/>
    <n v="20"/>
    <n v="7"/>
    <n v="58"/>
  </r>
  <r>
    <n v="3435"/>
    <s v="Sônia Carvalho"/>
    <x v="2"/>
    <x v="203"/>
    <s v="No"/>
    <n v="10"/>
    <x v="0"/>
    <x v="1"/>
    <x v="1"/>
    <x v="0"/>
    <n v="20"/>
    <n v="10"/>
    <n v="20"/>
  </r>
  <r>
    <n v="3436"/>
    <s v="Tiago Rodrigues"/>
    <x v="1"/>
    <x v="204"/>
    <s v="Yes"/>
    <n v="5"/>
    <x v="0"/>
    <x v="1"/>
    <x v="1"/>
    <x v="1"/>
    <n v="0"/>
    <n v="0"/>
    <n v="5"/>
  </r>
  <r>
    <n v="3437"/>
    <s v="Ursula Monteiro"/>
    <x v="0"/>
    <x v="205"/>
    <s v="No"/>
    <n v="15"/>
    <x v="2"/>
    <x v="0"/>
    <x v="0"/>
    <x v="0"/>
    <n v="20"/>
    <n v="7"/>
    <n v="58"/>
  </r>
  <r>
    <n v="3438"/>
    <s v="Vanessa Pereira"/>
    <x v="2"/>
    <x v="206"/>
    <s v="Yes"/>
    <n v="10"/>
    <x v="1"/>
    <x v="1"/>
    <x v="1"/>
    <x v="0"/>
    <n v="20"/>
    <n v="10"/>
    <n v="20"/>
  </r>
  <r>
    <n v="3439"/>
    <s v="Walter Silva"/>
    <x v="1"/>
    <x v="207"/>
    <s v="No"/>
    <n v="5"/>
    <x v="2"/>
    <x v="1"/>
    <x v="1"/>
    <x v="1"/>
    <n v="0"/>
    <n v="1"/>
    <n v="4"/>
  </r>
  <r>
    <n v="3440"/>
    <s v="Xavier Almeida"/>
    <x v="0"/>
    <x v="208"/>
    <s v="Yes"/>
    <n v="15"/>
    <x v="0"/>
    <x v="0"/>
    <x v="0"/>
    <x v="0"/>
    <n v="20"/>
    <n v="15"/>
    <n v="50"/>
  </r>
  <r>
    <n v="3441"/>
    <s v="Yasmine Correia"/>
    <x v="2"/>
    <x v="209"/>
    <s v="No"/>
    <n v="10"/>
    <x v="0"/>
    <x v="1"/>
    <x v="1"/>
    <x v="0"/>
    <n v="20"/>
    <n v="5"/>
    <n v="25"/>
  </r>
  <r>
    <n v="3442"/>
    <s v="Zacarias Almeida"/>
    <x v="1"/>
    <x v="210"/>
    <s v="Yes"/>
    <n v="5"/>
    <x v="1"/>
    <x v="1"/>
    <x v="1"/>
    <x v="1"/>
    <n v="0"/>
    <n v="0"/>
    <n v="5"/>
  </r>
  <r>
    <n v="3443"/>
    <s v="Amanda Costa"/>
    <x v="0"/>
    <x v="211"/>
    <s v="No"/>
    <n v="15"/>
    <x v="2"/>
    <x v="0"/>
    <x v="0"/>
    <x v="0"/>
    <n v="20"/>
    <n v="20"/>
    <n v="45"/>
  </r>
  <r>
    <n v="3444"/>
    <s v="Bruno Ferreira"/>
    <x v="2"/>
    <x v="212"/>
    <s v="Yes"/>
    <n v="10"/>
    <x v="2"/>
    <x v="1"/>
    <x v="1"/>
    <x v="0"/>
    <n v="20"/>
    <n v="12"/>
    <n v="18"/>
  </r>
  <r>
    <n v="3445"/>
    <s v="Carla Dias"/>
    <x v="1"/>
    <x v="213"/>
    <s v="No"/>
    <n v="5"/>
    <x v="0"/>
    <x v="1"/>
    <x v="1"/>
    <x v="1"/>
    <n v="0"/>
    <n v="2"/>
    <n v="3"/>
  </r>
  <r>
    <n v="3446"/>
    <s v="Diogo Martins"/>
    <x v="0"/>
    <x v="214"/>
    <s v="Yes"/>
    <n v="15"/>
    <x v="1"/>
    <x v="0"/>
    <x v="0"/>
    <x v="0"/>
    <n v="20"/>
    <n v="5"/>
    <n v="60"/>
  </r>
  <r>
    <n v="3447"/>
    <s v="Elisa Campos"/>
    <x v="2"/>
    <x v="215"/>
    <s v="No"/>
    <n v="10"/>
    <x v="0"/>
    <x v="1"/>
    <x v="1"/>
    <x v="0"/>
    <n v="20"/>
    <n v="10"/>
    <n v="20"/>
  </r>
  <r>
    <n v="3448"/>
    <s v="Fabiana Lima"/>
    <x v="1"/>
    <x v="216"/>
    <s v="Yes"/>
    <n v="5"/>
    <x v="2"/>
    <x v="1"/>
    <x v="1"/>
    <x v="1"/>
    <n v="0"/>
    <n v="0"/>
    <n v="5"/>
  </r>
  <r>
    <n v="3449"/>
    <s v="Gabriel Santos"/>
    <x v="0"/>
    <x v="217"/>
    <s v="No"/>
    <n v="15"/>
    <x v="0"/>
    <x v="0"/>
    <x v="0"/>
    <x v="0"/>
    <n v="20"/>
    <n v="3"/>
    <n v="62"/>
  </r>
  <r>
    <n v="3450"/>
    <s v="Helena Ferreira"/>
    <x v="2"/>
    <x v="218"/>
    <s v="Yes"/>
    <n v="10"/>
    <x v="1"/>
    <x v="1"/>
    <x v="1"/>
    <x v="0"/>
    <n v="20"/>
    <n v="15"/>
    <n v="15"/>
  </r>
  <r>
    <n v="3451"/>
    <s v="Ígor Nunes"/>
    <x v="1"/>
    <x v="219"/>
    <s v="No"/>
    <n v="5"/>
    <x v="0"/>
    <x v="1"/>
    <x v="1"/>
    <x v="1"/>
    <n v="0"/>
    <n v="1"/>
    <n v="4"/>
  </r>
  <r>
    <n v="3452"/>
    <s v="Joana Silveira"/>
    <x v="0"/>
    <x v="220"/>
    <s v="Yes"/>
    <n v="15"/>
    <x v="2"/>
    <x v="0"/>
    <x v="0"/>
    <x v="0"/>
    <n v="20"/>
    <n v="7"/>
    <n v="58"/>
  </r>
  <r>
    <n v="3453"/>
    <s v="Kléber Oliveira"/>
    <x v="2"/>
    <x v="221"/>
    <s v="No"/>
    <n v="10"/>
    <x v="0"/>
    <x v="1"/>
    <x v="1"/>
    <x v="0"/>
    <n v="20"/>
    <n v="10"/>
    <n v="20"/>
  </r>
  <r>
    <n v="3454"/>
    <s v="Luciana Morais"/>
    <x v="1"/>
    <x v="222"/>
    <s v="Yes"/>
    <n v="5"/>
    <x v="1"/>
    <x v="1"/>
    <x v="1"/>
    <x v="1"/>
    <n v="0"/>
    <n v="0"/>
    <n v="5"/>
  </r>
  <r>
    <n v="3455"/>
    <s v="Marcos Vinícius"/>
    <x v="0"/>
    <x v="223"/>
    <s v="No"/>
    <n v="15"/>
    <x v="0"/>
    <x v="0"/>
    <x v="0"/>
    <x v="0"/>
    <n v="20"/>
    <n v="20"/>
    <n v="45"/>
  </r>
  <r>
    <n v="3456"/>
    <s v="Natália Barros"/>
    <x v="2"/>
    <x v="224"/>
    <s v="Yes"/>
    <n v="10"/>
    <x v="2"/>
    <x v="1"/>
    <x v="1"/>
    <x v="0"/>
    <n v="20"/>
    <n v="15"/>
    <n v="15"/>
  </r>
  <r>
    <n v="3457"/>
    <s v="Oscar Sampaio"/>
    <x v="1"/>
    <x v="225"/>
    <s v="No"/>
    <n v="5"/>
    <x v="0"/>
    <x v="1"/>
    <x v="1"/>
    <x v="1"/>
    <n v="0"/>
    <n v="1"/>
    <n v="4"/>
  </r>
  <r>
    <n v="3458"/>
    <s v="Patrícia Leite"/>
    <x v="0"/>
    <x v="226"/>
    <s v="Yes"/>
    <n v="15"/>
    <x v="1"/>
    <x v="0"/>
    <x v="0"/>
    <x v="0"/>
    <n v="20"/>
    <n v="3"/>
    <n v="62"/>
  </r>
  <r>
    <n v="3459"/>
    <s v="Quênia Rocha"/>
    <x v="2"/>
    <x v="227"/>
    <s v="No"/>
    <n v="10"/>
    <x v="0"/>
    <x v="1"/>
    <x v="1"/>
    <x v="0"/>
    <n v="20"/>
    <n v="10"/>
    <n v="20"/>
  </r>
  <r>
    <n v="3460"/>
    <s v="Rafael Torres"/>
    <x v="1"/>
    <x v="228"/>
    <s v="Yes"/>
    <n v="5"/>
    <x v="2"/>
    <x v="1"/>
    <x v="1"/>
    <x v="1"/>
    <n v="0"/>
    <n v="0"/>
    <n v="5"/>
  </r>
  <r>
    <n v="3461"/>
    <s v="Sandra Gouveia"/>
    <x v="0"/>
    <x v="229"/>
    <s v="No"/>
    <n v="15"/>
    <x v="0"/>
    <x v="0"/>
    <x v="0"/>
    <x v="0"/>
    <n v="20"/>
    <n v="15"/>
    <n v="50"/>
  </r>
  <r>
    <n v="3462"/>
    <s v="Tiago Lacerda"/>
    <x v="2"/>
    <x v="230"/>
    <s v="Yes"/>
    <n v="10"/>
    <x v="1"/>
    <x v="1"/>
    <x v="1"/>
    <x v="0"/>
    <n v="20"/>
    <n v="15"/>
    <n v="15"/>
  </r>
  <r>
    <n v="3463"/>
    <s v="Ursula Fonseca"/>
    <x v="1"/>
    <x v="231"/>
    <s v="No"/>
    <n v="5"/>
    <x v="0"/>
    <x v="1"/>
    <x v="1"/>
    <x v="1"/>
    <n v="0"/>
    <n v="1"/>
    <n v="4"/>
  </r>
  <r>
    <n v="3464"/>
    <s v="Vanessa Andrade"/>
    <x v="0"/>
    <x v="232"/>
    <s v="Yes"/>
    <n v="15"/>
    <x v="2"/>
    <x v="0"/>
    <x v="0"/>
    <x v="0"/>
    <n v="20"/>
    <n v="7"/>
    <n v="58"/>
  </r>
  <r>
    <n v="3465"/>
    <s v="William Castro"/>
    <x v="2"/>
    <x v="233"/>
    <s v="No"/>
    <n v="10"/>
    <x v="0"/>
    <x v="1"/>
    <x v="1"/>
    <x v="0"/>
    <n v="20"/>
    <n v="10"/>
    <n v="20"/>
  </r>
  <r>
    <n v="3466"/>
    <s v="Xavier Monteiro"/>
    <x v="1"/>
    <x v="234"/>
    <s v="Yes"/>
    <n v="5"/>
    <x v="1"/>
    <x v="1"/>
    <x v="1"/>
    <x v="1"/>
    <n v="0"/>
    <n v="0"/>
    <n v="5"/>
  </r>
  <r>
    <n v="3467"/>
    <s v="Yasmin Figueira"/>
    <x v="0"/>
    <x v="235"/>
    <s v="No"/>
    <n v="15"/>
    <x v="0"/>
    <x v="0"/>
    <x v="0"/>
    <x v="0"/>
    <n v="20"/>
    <n v="15"/>
    <n v="50"/>
  </r>
  <r>
    <n v="3468"/>
    <s v="Zacarias Mendonça"/>
    <x v="2"/>
    <x v="236"/>
    <s v="Yes"/>
    <n v="10"/>
    <x v="2"/>
    <x v="1"/>
    <x v="1"/>
    <x v="0"/>
    <n v="20"/>
    <n v="12"/>
    <n v="18"/>
  </r>
  <r>
    <n v="3469"/>
    <s v="Amanda Menezes"/>
    <x v="1"/>
    <x v="237"/>
    <s v="No"/>
    <n v="5"/>
    <x v="0"/>
    <x v="1"/>
    <x v="1"/>
    <x v="1"/>
    <n v="0"/>
    <n v="2"/>
    <n v="3"/>
  </r>
  <r>
    <n v="3470"/>
    <s v="Bruno Santos"/>
    <x v="0"/>
    <x v="238"/>
    <s v="Yes"/>
    <n v="15"/>
    <x v="1"/>
    <x v="0"/>
    <x v="0"/>
    <x v="0"/>
    <n v="20"/>
    <n v="5"/>
    <n v="60"/>
  </r>
  <r>
    <n v="3471"/>
    <s v="Carla Ferreira"/>
    <x v="2"/>
    <x v="239"/>
    <s v="No"/>
    <n v="10"/>
    <x v="0"/>
    <x v="1"/>
    <x v="1"/>
    <x v="0"/>
    <n v="20"/>
    <n v="10"/>
    <n v="20"/>
  </r>
  <r>
    <n v="3472"/>
    <s v="Diogo Alves"/>
    <x v="1"/>
    <x v="240"/>
    <s v="Yes"/>
    <n v="5"/>
    <x v="2"/>
    <x v="1"/>
    <x v="1"/>
    <x v="1"/>
    <n v="0"/>
    <n v="0"/>
    <n v="5"/>
  </r>
  <r>
    <n v="3473"/>
    <s v="Elisa Neves"/>
    <x v="0"/>
    <x v="241"/>
    <s v="No"/>
    <n v="15"/>
    <x v="0"/>
    <x v="0"/>
    <x v="0"/>
    <x v="0"/>
    <n v="20"/>
    <n v="3"/>
    <n v="62"/>
  </r>
  <r>
    <n v="3474"/>
    <s v="Fabiano Pires"/>
    <x v="2"/>
    <x v="242"/>
    <s v="Yes"/>
    <n v="10"/>
    <x v="1"/>
    <x v="1"/>
    <x v="1"/>
    <x v="0"/>
    <n v="20"/>
    <n v="15"/>
    <n v="15"/>
  </r>
  <r>
    <n v="3475"/>
    <s v="Giovana Ribeiro"/>
    <x v="1"/>
    <x v="243"/>
    <s v="No"/>
    <n v="5"/>
    <x v="0"/>
    <x v="1"/>
    <x v="1"/>
    <x v="1"/>
    <n v="0"/>
    <n v="1"/>
    <n v="4"/>
  </r>
  <r>
    <n v="3476"/>
    <s v="Hélio Costa"/>
    <x v="0"/>
    <x v="244"/>
    <s v="Yes"/>
    <n v="15"/>
    <x v="2"/>
    <x v="0"/>
    <x v="0"/>
    <x v="0"/>
    <n v="20"/>
    <n v="7"/>
    <n v="58"/>
  </r>
  <r>
    <n v="3477"/>
    <s v="Íris Loureiro"/>
    <x v="2"/>
    <x v="245"/>
    <s v="No"/>
    <n v="10"/>
    <x v="0"/>
    <x v="1"/>
    <x v="1"/>
    <x v="0"/>
    <n v="20"/>
    <n v="10"/>
    <n v="20"/>
  </r>
  <r>
    <n v="3478"/>
    <s v="João Pereira"/>
    <x v="1"/>
    <x v="246"/>
    <s v="Yes"/>
    <n v="5"/>
    <x v="1"/>
    <x v="1"/>
    <x v="1"/>
    <x v="1"/>
    <n v="0"/>
    <n v="0"/>
    <n v="5"/>
  </r>
  <r>
    <n v="3479"/>
    <s v="Klara Silva"/>
    <x v="0"/>
    <x v="247"/>
    <s v="No"/>
    <n v="15"/>
    <x v="0"/>
    <x v="0"/>
    <x v="0"/>
    <x v="0"/>
    <n v="20"/>
    <n v="20"/>
    <n v="45"/>
  </r>
  <r>
    <n v="3480"/>
    <s v="Luciana Barros"/>
    <x v="2"/>
    <x v="248"/>
    <s v="Yes"/>
    <n v="10"/>
    <x v="2"/>
    <x v="1"/>
    <x v="1"/>
    <x v="0"/>
    <n v="20"/>
    <n v="15"/>
    <n v="15"/>
  </r>
  <r>
    <n v="3481"/>
    <s v="Marcos Gomes"/>
    <x v="1"/>
    <x v="249"/>
    <s v="No"/>
    <n v="5"/>
    <x v="0"/>
    <x v="1"/>
    <x v="1"/>
    <x v="1"/>
    <n v="0"/>
    <n v="1"/>
    <n v="4"/>
  </r>
  <r>
    <n v="3482"/>
    <s v="Natália Soares"/>
    <x v="0"/>
    <x v="250"/>
    <s v="Yes"/>
    <n v="15"/>
    <x v="1"/>
    <x v="0"/>
    <x v="0"/>
    <x v="0"/>
    <n v="20"/>
    <n v="3"/>
    <n v="62"/>
  </r>
  <r>
    <n v="3483"/>
    <s v="Oscar Machado"/>
    <x v="2"/>
    <x v="251"/>
    <s v="No"/>
    <n v="10"/>
    <x v="0"/>
    <x v="1"/>
    <x v="1"/>
    <x v="0"/>
    <n v="20"/>
    <n v="10"/>
    <n v="20"/>
  </r>
  <r>
    <n v="3484"/>
    <s v="Patrícia Lima"/>
    <x v="1"/>
    <x v="252"/>
    <s v="Yes"/>
    <n v="5"/>
    <x v="2"/>
    <x v="1"/>
    <x v="1"/>
    <x v="1"/>
    <n v="0"/>
    <n v="0"/>
    <n v="5"/>
  </r>
  <r>
    <n v="3485"/>
    <s v="Quirino Neto"/>
    <x v="0"/>
    <x v="253"/>
    <s v="No"/>
    <n v="15"/>
    <x v="0"/>
    <x v="0"/>
    <x v="0"/>
    <x v="0"/>
    <n v="20"/>
    <n v="15"/>
    <n v="50"/>
  </r>
  <r>
    <n v="3486"/>
    <s v="Rafaela Souza"/>
    <x v="1"/>
    <x v="254"/>
    <s v="Yes"/>
    <n v="5"/>
    <x v="0"/>
    <x v="1"/>
    <x v="1"/>
    <x v="1"/>
    <n v="0"/>
    <n v="0"/>
    <n v="5"/>
  </r>
  <r>
    <n v="3487"/>
    <s v="Sandro Almeida"/>
    <x v="0"/>
    <x v="255"/>
    <s v="No"/>
    <n v="15"/>
    <x v="2"/>
    <x v="0"/>
    <x v="0"/>
    <x v="0"/>
    <n v="20"/>
    <n v="7"/>
    <n v="58"/>
  </r>
  <r>
    <n v="3488"/>
    <s v="Tânia Ribeiro"/>
    <x v="2"/>
    <x v="256"/>
    <s v="Yes"/>
    <n v="10"/>
    <x v="1"/>
    <x v="1"/>
    <x v="1"/>
    <x v="0"/>
    <n v="20"/>
    <n v="10"/>
    <n v="20"/>
  </r>
  <r>
    <n v="3489"/>
    <s v="Ugo Dias"/>
    <x v="1"/>
    <x v="257"/>
    <s v="No"/>
    <n v="5"/>
    <x v="2"/>
    <x v="1"/>
    <x v="1"/>
    <x v="1"/>
    <n v="0"/>
    <n v="1"/>
    <n v="4"/>
  </r>
  <r>
    <n v="3490"/>
    <s v="Valéria Lima"/>
    <x v="0"/>
    <x v="258"/>
    <s v="Yes"/>
    <n v="15"/>
    <x v="0"/>
    <x v="0"/>
    <x v="0"/>
    <x v="0"/>
    <n v="20"/>
    <n v="15"/>
    <n v="50"/>
  </r>
  <r>
    <n v="3491"/>
    <s v="William Fernandes"/>
    <x v="2"/>
    <x v="259"/>
    <s v="No"/>
    <n v="10"/>
    <x v="0"/>
    <x v="1"/>
    <x v="1"/>
    <x v="0"/>
    <n v="20"/>
    <n v="5"/>
    <n v="25"/>
  </r>
  <r>
    <n v="3492"/>
    <s v="Xuxa Mendes"/>
    <x v="1"/>
    <x v="260"/>
    <s v="Yes"/>
    <n v="5"/>
    <x v="1"/>
    <x v="1"/>
    <x v="1"/>
    <x v="1"/>
    <n v="0"/>
    <n v="0"/>
    <n v="5"/>
  </r>
  <r>
    <n v="3493"/>
    <s v="Ygor Farias"/>
    <x v="0"/>
    <x v="261"/>
    <s v="No"/>
    <n v="15"/>
    <x v="2"/>
    <x v="0"/>
    <x v="0"/>
    <x v="0"/>
    <n v="20"/>
    <n v="20"/>
    <n v="45"/>
  </r>
  <r>
    <n v="3494"/>
    <s v="Zilda Barros"/>
    <x v="2"/>
    <x v="262"/>
    <s v="Yes"/>
    <n v="10"/>
    <x v="2"/>
    <x v="1"/>
    <x v="1"/>
    <x v="0"/>
    <n v="20"/>
    <n v="12"/>
    <n v="18"/>
  </r>
  <r>
    <n v="3495"/>
    <s v="Amanda Santos"/>
    <x v="1"/>
    <x v="263"/>
    <s v="No"/>
    <n v="5"/>
    <x v="0"/>
    <x v="1"/>
    <x v="1"/>
    <x v="1"/>
    <n v="0"/>
    <n v="2"/>
    <n v="3"/>
  </r>
  <r>
    <n v="3496"/>
    <s v="Bruno Costa"/>
    <x v="0"/>
    <x v="264"/>
    <s v="Yes"/>
    <n v="15"/>
    <x v="1"/>
    <x v="0"/>
    <x v="0"/>
    <x v="0"/>
    <n v="20"/>
    <n v="5"/>
    <n v="60"/>
  </r>
  <r>
    <n v="3497"/>
    <s v="Carla Rodrigues"/>
    <x v="2"/>
    <x v="265"/>
    <s v="No"/>
    <n v="10"/>
    <x v="0"/>
    <x v="1"/>
    <x v="1"/>
    <x v="0"/>
    <n v="20"/>
    <n v="10"/>
    <n v="20"/>
  </r>
  <r>
    <n v="3498"/>
    <s v="Diogo Pereira"/>
    <x v="1"/>
    <x v="266"/>
    <s v="Yes"/>
    <n v="5"/>
    <x v="2"/>
    <x v="1"/>
    <x v="1"/>
    <x v="1"/>
    <n v="0"/>
    <n v="0"/>
    <n v="5"/>
  </r>
  <r>
    <n v="3499"/>
    <s v="Elisa Correia"/>
    <x v="0"/>
    <x v="267"/>
    <s v="No"/>
    <n v="15"/>
    <x v="0"/>
    <x v="0"/>
    <x v="0"/>
    <x v="0"/>
    <n v="20"/>
    <n v="3"/>
    <n v="62"/>
  </r>
  <r>
    <n v="3500"/>
    <s v="Fábio Lourenço"/>
    <x v="2"/>
    <x v="268"/>
    <s v="Yes"/>
    <n v="10"/>
    <x v="1"/>
    <x v="1"/>
    <x v="1"/>
    <x v="0"/>
    <n v="20"/>
    <n v="15"/>
    <n v="15"/>
  </r>
  <r>
    <n v="3501"/>
    <s v="Gabriela Neves"/>
    <x v="1"/>
    <x v="269"/>
    <s v="No"/>
    <n v="5"/>
    <x v="0"/>
    <x v="1"/>
    <x v="1"/>
    <x v="1"/>
    <n v="0"/>
    <n v="1"/>
    <n v="4"/>
  </r>
  <r>
    <n v="3502"/>
    <s v="Henrique Gonçalves"/>
    <x v="0"/>
    <x v="270"/>
    <s v="Yes"/>
    <n v="15"/>
    <x v="2"/>
    <x v="0"/>
    <x v="0"/>
    <x v="0"/>
    <n v="20"/>
    <n v="7"/>
    <n v="58"/>
  </r>
  <r>
    <n v="3503"/>
    <s v="Íris Santos"/>
    <x v="2"/>
    <x v="271"/>
    <s v="No"/>
    <n v="10"/>
    <x v="0"/>
    <x v="1"/>
    <x v="1"/>
    <x v="0"/>
    <n v="20"/>
    <n v="10"/>
    <n v="20"/>
  </r>
  <r>
    <n v="3504"/>
    <s v="João Marcelo Alves"/>
    <x v="1"/>
    <x v="272"/>
    <s v="Yes"/>
    <n v="5"/>
    <x v="1"/>
    <x v="1"/>
    <x v="1"/>
    <x v="1"/>
    <n v="0"/>
    <n v="0"/>
    <n v="5"/>
  </r>
  <r>
    <n v="3505"/>
    <s v="Klara Fonseca"/>
    <x v="0"/>
    <x v="273"/>
    <s v="No"/>
    <n v="15"/>
    <x v="0"/>
    <x v="0"/>
    <x v="0"/>
    <x v="0"/>
    <n v="20"/>
    <n v="20"/>
    <n v="45"/>
  </r>
  <r>
    <n v="3506"/>
    <s v="Lucas Mendonça"/>
    <x v="2"/>
    <x v="274"/>
    <s v="Yes"/>
    <n v="10"/>
    <x v="2"/>
    <x v="1"/>
    <x v="1"/>
    <x v="0"/>
    <n v="20"/>
    <n v="15"/>
    <n v="15"/>
  </r>
  <r>
    <n v="3507"/>
    <s v="Marcela Torres"/>
    <x v="1"/>
    <x v="275"/>
    <s v="No"/>
    <n v="5"/>
    <x v="0"/>
    <x v="1"/>
    <x v="1"/>
    <x v="1"/>
    <n v="0"/>
    <n v="1"/>
    <n v="4"/>
  </r>
  <r>
    <n v="3508"/>
    <s v="Natália Castro"/>
    <x v="0"/>
    <x v="276"/>
    <s v="Yes"/>
    <n v="15"/>
    <x v="1"/>
    <x v="0"/>
    <x v="0"/>
    <x v="0"/>
    <n v="20"/>
    <n v="3"/>
    <n v="62"/>
  </r>
  <r>
    <n v="3509"/>
    <s v="Oscar Martins"/>
    <x v="2"/>
    <x v="277"/>
    <s v="No"/>
    <n v="10"/>
    <x v="0"/>
    <x v="1"/>
    <x v="1"/>
    <x v="0"/>
    <n v="20"/>
    <n v="10"/>
    <n v="20"/>
  </r>
  <r>
    <n v="3510"/>
    <s v="Patrícia Oliveira"/>
    <x v="1"/>
    <x v="278"/>
    <s v="Yes"/>
    <n v="5"/>
    <x v="2"/>
    <x v="1"/>
    <x v="1"/>
    <x v="1"/>
    <n v="0"/>
    <n v="0"/>
    <n v="5"/>
  </r>
  <r>
    <n v="3511"/>
    <s v="Quentin Nogueira"/>
    <x v="0"/>
    <x v="279"/>
    <s v="No"/>
    <n v="15"/>
    <x v="0"/>
    <x v="0"/>
    <x v="0"/>
    <x v="0"/>
    <n v="20"/>
    <n v="15"/>
    <n v="50"/>
  </r>
  <r>
    <n v="3512"/>
    <s v="Raquel Silva"/>
    <x v="2"/>
    <x v="280"/>
    <s v="Yes"/>
    <n v="10"/>
    <x v="1"/>
    <x v="1"/>
    <x v="1"/>
    <x v="0"/>
    <n v="20"/>
    <n v="15"/>
    <n v="15"/>
  </r>
  <r>
    <n v="3513"/>
    <s v="Sandro Gomes"/>
    <x v="1"/>
    <x v="281"/>
    <s v="No"/>
    <n v="5"/>
    <x v="0"/>
    <x v="1"/>
    <x v="1"/>
    <x v="1"/>
    <n v="0"/>
    <n v="1"/>
    <n v="4"/>
  </r>
  <r>
    <n v="3514"/>
    <s v="Tânia Machado"/>
    <x v="0"/>
    <x v="282"/>
    <s v="Yes"/>
    <n v="15"/>
    <x v="2"/>
    <x v="0"/>
    <x v="0"/>
    <x v="0"/>
    <n v="20"/>
    <n v="7"/>
    <n v="58"/>
  </r>
  <r>
    <n v="3515"/>
    <s v="Ursula Silva"/>
    <x v="2"/>
    <x v="283"/>
    <s v="No"/>
    <n v="10"/>
    <x v="0"/>
    <x v="1"/>
    <x v="1"/>
    <x v="0"/>
    <n v="20"/>
    <n v="10"/>
    <n v="20"/>
  </r>
  <r>
    <n v="3516"/>
    <s v="Vanessa Moraes"/>
    <x v="1"/>
    <x v="284"/>
    <s v="Yes"/>
    <n v="5"/>
    <x v="1"/>
    <x v="1"/>
    <x v="1"/>
    <x v="1"/>
    <n v="0"/>
    <n v="0"/>
    <n v="5"/>
  </r>
  <r>
    <n v="3517"/>
    <s v="William Carvalho"/>
    <x v="0"/>
    <x v="285"/>
    <s v="No"/>
    <n v="15"/>
    <x v="0"/>
    <x v="0"/>
    <x v="0"/>
    <x v="0"/>
    <n v="20"/>
    <n v="20"/>
    <n v="45"/>
  </r>
  <r>
    <n v="3518"/>
    <s v="Xavier Reis"/>
    <x v="2"/>
    <x v="286"/>
    <s v="Yes"/>
    <n v="10"/>
    <x v="2"/>
    <x v="1"/>
    <x v="1"/>
    <x v="0"/>
    <n v="20"/>
    <n v="12"/>
    <n v="18"/>
  </r>
  <r>
    <n v="3519"/>
    <s v="Yasmin Rocha"/>
    <x v="1"/>
    <x v="287"/>
    <s v="No"/>
    <n v="5"/>
    <x v="0"/>
    <x v="1"/>
    <x v="1"/>
    <x v="1"/>
    <n v="0"/>
    <n v="2"/>
    <n v="3"/>
  </r>
  <r>
    <n v="3520"/>
    <s v="Zacarias Duarte"/>
    <x v="0"/>
    <x v="288"/>
    <s v="Yes"/>
    <n v="15"/>
    <x v="1"/>
    <x v="0"/>
    <x v="0"/>
    <x v="0"/>
    <n v="20"/>
    <n v="5"/>
    <n v="60"/>
  </r>
  <r>
    <n v="3521"/>
    <s v="Amanda Freitas"/>
    <x v="2"/>
    <x v="289"/>
    <s v="No"/>
    <n v="10"/>
    <x v="0"/>
    <x v="1"/>
    <x v="1"/>
    <x v="0"/>
    <n v="20"/>
    <n v="10"/>
    <n v="20"/>
  </r>
  <r>
    <n v="3522"/>
    <s v="Bruno Almeida"/>
    <x v="1"/>
    <x v="290"/>
    <s v="Yes"/>
    <n v="5"/>
    <x v="2"/>
    <x v="1"/>
    <x v="1"/>
    <x v="1"/>
    <n v="0"/>
    <n v="0"/>
    <n v="5"/>
  </r>
  <r>
    <n v="3523"/>
    <s v="Carla Siqueira"/>
    <x v="0"/>
    <x v="291"/>
    <s v="No"/>
    <n v="15"/>
    <x v="0"/>
    <x v="0"/>
    <x v="0"/>
    <x v="0"/>
    <n v="20"/>
    <n v="3"/>
    <n v="62"/>
  </r>
  <r>
    <n v="3524"/>
    <s v="Diogo Ramos"/>
    <x v="2"/>
    <x v="292"/>
    <s v="Yes"/>
    <n v="10"/>
    <x v="1"/>
    <x v="1"/>
    <x v="1"/>
    <x v="0"/>
    <n v="20"/>
    <n v="15"/>
    <n v="15"/>
  </r>
  <r>
    <n v="3525"/>
    <s v="Elisa Magalhães"/>
    <x v="1"/>
    <x v="293"/>
    <s v="No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F798B-4EB1-4FD8-A54F-C0F4792261EE}" name="Tabela dinâmica4" cacheId="0" applyNumberFormats="0" applyBorderFormats="0" applyFontFormats="0" applyPatternFormats="0" applyAlignmentFormats="0" applyWidthHeightFormats="1" dataCaption="Valores" grandTotalCaption="Total anual" updatedVersion="8" minRefreshableVersion="3" preserveFormatting="0" useAutoFormatting="1" itemPrintTitles="1" createdVersion="8" indent="0" outline="1" outlineData="1" multipleFieldFilters="0" chartFormat="33">
  <location ref="B18:C36" firstHeaderRow="1" firstDataRow="1" firstDataCol="1"/>
  <pivotFields count="16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>
      <items count="7">
        <item x="0"/>
        <item n="Primeiro trimestre" x="1"/>
        <item n="Segundo trimestre" x="2"/>
        <item n="Terceiro trimestre" x="3"/>
        <item n="Quarto trimestre" x="4"/>
        <item x="5"/>
        <item t="default"/>
      </items>
    </pivotField>
    <pivotField axis="axisRow" showAll="0" defaultSubtotal="0">
      <items count="3">
        <item x="0"/>
        <item x="1"/>
        <item x="2"/>
      </items>
    </pivotField>
  </pivotFields>
  <rowFields count="3">
    <field x="15"/>
    <field x="14"/>
    <field x="13"/>
  </rowFields>
  <rowItems count="18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oma de Total Value" fld="12" baseField="15" baseItem="1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047E5-3D49-4E0C-AF79-5FF96BD8EF4F}" name="tbl_minecraft_pass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">
  <location ref="F9:G12" firstHeaderRow="1" firstDataRow="1" firstDataCol="1" rowPageCount="1" colPageCount="1"/>
  <pivotFields count="16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/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numFmtId="44" outline="0" showAll="0"/>
    <pivotField compact="0" numFmtId="44" outline="0" showAll="0"/>
    <pivotField compact="0" numFmtId="44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7330D-73FE-48C7-B46E-F2B6987ECC32}" name="tbl_ea_season_pass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15">
  <location ref="B9:C13" firstHeaderRow="1" firstDataRow="1" firstDataCol="1" rowPageCount="1" colPageCount="1"/>
  <pivotFields count="16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/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  <pivotField compact="0" numFmtId="44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08101-51ED-4568-B408-8C6ED1478C8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B52:C56" firstHeaderRow="1" firstDataRow="1" firstDataCol="1"/>
  <pivotFields count="16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lan" fld="2" subtotal="count" baseField="0" baseItem="0"/>
  </dataFields>
  <chartFormats count="2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86A1106-2B9D-431D-950D-29E653396D48}" sourceName="Subscription Type">
  <pivotTables>
    <pivotTable tabId="3" name="tbl_ea_season_pass"/>
    <pivotTable tabId="3" name="tbl_minecraft_pass"/>
  </pivotTables>
  <data>
    <tabular pivotCacheId="180854721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5BC739-7A6F-483F-9028-08428788CB29}" cache="SegmentaçãodeDados_Subscription_Type" caption="Tipo de plano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8D58F-C79D-439E-A4A2-69D9F0B20BF7}" name="Tabela13" displayName="Tabela13" ref="A1:M296" totalsRowShown="0" dataDxfId="13">
  <autoFilter ref="A1:M296" xr:uid="{8478D58F-C79D-439E-A4A2-69D9F0B20BF7}"/>
  <tableColumns count="13">
    <tableColumn id="1" xr3:uid="{24FAE5A1-005B-4E75-81E0-C904AFBCF4AD}" name="Subscriber ID" dataDxfId="12"/>
    <tableColumn id="2" xr3:uid="{AB022F5C-F492-4FC1-8142-D577F69841A3}" name="Name" dataDxfId="11"/>
    <tableColumn id="3" xr3:uid="{97764C39-C7E7-4342-80E5-3E28A1F3B160}" name="Plan" dataDxfId="10"/>
    <tableColumn id="4" xr3:uid="{8A749AA5-41A6-4E8A-B086-73A630F47807}" name="Start Date" dataDxfId="9"/>
    <tableColumn id="5" xr3:uid="{298AFF5F-838C-4350-8CA5-F5D710C61690}" name="Auto Renewal" dataDxfId="8"/>
    <tableColumn id="6" xr3:uid="{3CCCD97E-695B-443B-8E37-698FF8DBAA75}" name="Subscription Price" dataDxfId="7" dataCellStyle="Moeda"/>
    <tableColumn id="7" xr3:uid="{56F862B1-6C5C-4F47-AA66-A0A180EBA704}" name="Subscription Type" dataDxfId="6"/>
    <tableColumn id="8" xr3:uid="{0CEC10AD-F617-4827-B2C8-A74DBB36C35B}" name="EA Play Season Pass" dataDxfId="5"/>
    <tableColumn id="13" xr3:uid="{0728ADCB-5CAB-4714-81CB-7688A2C80B6B}" name="EA Play Season Pass_x000a_Price" dataDxfId="4" dataCellStyle="Moeda"/>
    <tableColumn id="9" xr3:uid="{0C9F9C17-03EA-497F-9DCE-45F17153DF8D}" name="Minecraft Season Pass" dataDxfId="3"/>
    <tableColumn id="10" xr3:uid="{FF87D012-60A4-4417-ADC6-B119E2DBAEC2}" name="Minecraft Season Pass Price" dataDxfId="2" dataCellStyle="Moeda"/>
    <tableColumn id="11" xr3:uid="{94E6A09F-43F0-49E5-9CC5-3430E1D2835F}" name="Coupon Value" dataDxfId="1" dataCellStyle="Moeda"/>
    <tableColumn id="12" xr3:uid="{5A020E24-D17C-48F4-A483-8B0F3AE8E7FD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A3:P21"/>
  <sheetViews>
    <sheetView showGridLines="0" zoomScaleNormal="100" workbookViewId="0">
      <selection activeCell="H25" sqref="H25"/>
    </sheetView>
  </sheetViews>
  <sheetFormatPr defaultRowHeight="14.4" x14ac:dyDescent="0.3"/>
  <cols>
    <col min="9" max="9" width="3.5546875" customWidth="1"/>
  </cols>
  <sheetData>
    <row r="3" spans="1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1:16" ht="15" thickTop="1" x14ac:dyDescent="0.3"/>
    <row r="5" spans="1:16" x14ac:dyDescent="0.3">
      <c r="B5" s="3" t="s">
        <v>1</v>
      </c>
      <c r="C5" t="s">
        <v>2</v>
      </c>
      <c r="E5" s="7" t="s">
        <v>3</v>
      </c>
      <c r="F5" t="s">
        <v>4</v>
      </c>
    </row>
    <row r="6" spans="1:16" x14ac:dyDescent="0.3">
      <c r="A6" s="4"/>
      <c r="B6" s="4" t="s">
        <v>5</v>
      </c>
      <c r="C6" t="s">
        <v>2</v>
      </c>
    </row>
    <row r="7" spans="1:16" x14ac:dyDescent="0.3">
      <c r="B7" s="5" t="s">
        <v>6</v>
      </c>
      <c r="C7" t="s">
        <v>7</v>
      </c>
    </row>
    <row r="8" spans="1:16" x14ac:dyDescent="0.3">
      <c r="B8" s="6" t="s">
        <v>8</v>
      </c>
      <c r="C8" t="s">
        <v>7</v>
      </c>
    </row>
    <row r="9" spans="1:16" x14ac:dyDescent="0.3">
      <c r="B9" s="19" t="s">
        <v>329</v>
      </c>
    </row>
    <row r="10" spans="1:16" x14ac:dyDescent="0.3">
      <c r="B10" s="20" t="s">
        <v>330</v>
      </c>
    </row>
    <row r="12" spans="1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1:16" ht="15" thickTop="1" x14ac:dyDescent="0.3">
      <c r="B13" s="2"/>
      <c r="C13" s="2"/>
      <c r="D13" s="2"/>
      <c r="E13" s="2"/>
      <c r="F13" s="2"/>
      <c r="G13" s="2"/>
      <c r="H13" s="2"/>
    </row>
    <row r="14" spans="1:16" x14ac:dyDescent="0.3">
      <c r="B14" s="2"/>
      <c r="C14" s="2"/>
      <c r="D14" s="2"/>
      <c r="E14" s="2"/>
      <c r="F14" s="2"/>
      <c r="G14" s="2"/>
      <c r="H14" s="2"/>
    </row>
    <row r="15" spans="1:16" x14ac:dyDescent="0.3">
      <c r="B15" s="2"/>
      <c r="C15" s="2"/>
      <c r="D15" s="2"/>
      <c r="E15" s="2"/>
      <c r="F15" s="2"/>
      <c r="G15" s="2"/>
      <c r="H15" s="2"/>
    </row>
    <row r="16" spans="1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C82E-CD54-4137-8CB1-7C78C6129493}">
  <sheetPr>
    <tabColor theme="3" tint="0.749992370372631"/>
  </sheetPr>
  <dimension ref="A1:M296"/>
  <sheetViews>
    <sheetView zoomScale="90" zoomScaleNormal="90" workbookViewId="0">
      <selection activeCell="B29" sqref="B29"/>
    </sheetView>
  </sheetViews>
  <sheetFormatPr defaultRowHeight="14.4" x14ac:dyDescent="0.3"/>
  <cols>
    <col min="1" max="1" width="17.88671875" customWidth="1"/>
    <col min="2" max="2" width="18.88671875" customWidth="1"/>
    <col min="3" max="3" width="9.44140625" customWidth="1"/>
    <col min="4" max="4" width="14.5546875" customWidth="1"/>
    <col min="5" max="5" width="18" customWidth="1"/>
    <col min="6" max="6" width="14.6640625" customWidth="1"/>
    <col min="7" max="7" width="22" customWidth="1"/>
    <col min="8" max="9" width="20.5546875" customWidth="1"/>
    <col min="10" max="10" width="16.6640625" customWidth="1"/>
    <col min="11" max="11" width="21.33203125" customWidth="1"/>
    <col min="12" max="12" width="12.6640625" customWidth="1"/>
    <col min="13" max="13" width="10.5546875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H56"/>
  <sheetViews>
    <sheetView showGridLines="0" zoomScaleNormal="100" workbookViewId="0">
      <selection activeCell="B17" sqref="B17"/>
    </sheetView>
  </sheetViews>
  <sheetFormatPr defaultRowHeight="14.4" x14ac:dyDescent="0.3"/>
  <cols>
    <col min="2" max="2" width="20.6640625" bestFit="1" customWidth="1"/>
    <col min="3" max="3" width="18.44140625" bestFit="1" customWidth="1"/>
    <col min="4" max="5" width="11.88671875" customWidth="1"/>
    <col min="6" max="6" width="19.109375" customWidth="1"/>
    <col min="7" max="7" width="31.21875" customWidth="1"/>
    <col min="8" max="8" width="11.88671875" customWidth="1"/>
    <col min="9" max="9" width="21.109375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8" ht="43.2" x14ac:dyDescent="0.3">
      <c r="B2" s="18" t="s">
        <v>341</v>
      </c>
    </row>
    <row r="7" spans="2:8" x14ac:dyDescent="0.3">
      <c r="B7" s="12" t="s">
        <v>17</v>
      </c>
      <c r="C7" t="s">
        <v>31</v>
      </c>
      <c r="F7" s="12" t="s">
        <v>17</v>
      </c>
      <c r="G7" t="s">
        <v>31</v>
      </c>
    </row>
    <row r="9" spans="2:8" x14ac:dyDescent="0.3">
      <c r="B9" s="12" t="s">
        <v>13</v>
      </c>
      <c r="C9" t="s">
        <v>340</v>
      </c>
      <c r="F9" s="12" t="s">
        <v>20</v>
      </c>
      <c r="G9" t="s">
        <v>339</v>
      </c>
    </row>
    <row r="10" spans="2:8" x14ac:dyDescent="0.3">
      <c r="B10" t="s">
        <v>29</v>
      </c>
      <c r="C10" s="14">
        <v>0</v>
      </c>
      <c r="F10" t="s">
        <v>30</v>
      </c>
      <c r="G10" s="14">
        <v>0</v>
      </c>
    </row>
    <row r="11" spans="2:8" x14ac:dyDescent="0.3">
      <c r="B11" t="s">
        <v>34</v>
      </c>
      <c r="C11" s="14">
        <v>0</v>
      </c>
      <c r="F11" t="s">
        <v>26</v>
      </c>
      <c r="G11" s="14">
        <v>940</v>
      </c>
    </row>
    <row r="12" spans="2:8" x14ac:dyDescent="0.3">
      <c r="B12" t="s">
        <v>25</v>
      </c>
      <c r="C12" s="14">
        <v>600</v>
      </c>
      <c r="D12" s="22">
        <f>GETPIVOTDATA("EA Play Season Pass
Price",$B$9,"Plan","Ultimate")</f>
        <v>600</v>
      </c>
      <c r="F12" t="s">
        <v>314</v>
      </c>
      <c r="G12" s="14">
        <v>940</v>
      </c>
      <c r="H12" s="22">
        <f>GETPIVOTDATA("Minecraft Season Pass Price",$F$9)</f>
        <v>940</v>
      </c>
    </row>
    <row r="13" spans="2:8" x14ac:dyDescent="0.3">
      <c r="B13" t="s">
        <v>314</v>
      </c>
      <c r="C13" s="14">
        <v>600</v>
      </c>
    </row>
    <row r="16" spans="2:8" ht="43.2" x14ac:dyDescent="0.3">
      <c r="B16" s="18" t="s">
        <v>342</v>
      </c>
    </row>
    <row r="18" spans="2:5" x14ac:dyDescent="0.3">
      <c r="B18" s="12" t="s">
        <v>316</v>
      </c>
      <c r="C18" t="s">
        <v>313</v>
      </c>
      <c r="E18" s="14"/>
    </row>
    <row r="19" spans="2:5" x14ac:dyDescent="0.3">
      <c r="B19" s="16" t="s">
        <v>338</v>
      </c>
      <c r="C19" s="13"/>
    </row>
    <row r="20" spans="2:5" x14ac:dyDescent="0.3">
      <c r="B20" s="17" t="s">
        <v>331</v>
      </c>
      <c r="C20" s="13">
        <v>948</v>
      </c>
    </row>
    <row r="21" spans="2:5" x14ac:dyDescent="0.3">
      <c r="B21" s="23" t="s">
        <v>317</v>
      </c>
      <c r="C21" s="13">
        <v>65</v>
      </c>
    </row>
    <row r="22" spans="2:5" x14ac:dyDescent="0.3">
      <c r="B22" s="23" t="s">
        <v>318</v>
      </c>
      <c r="C22" s="13">
        <v>82</v>
      </c>
    </row>
    <row r="23" spans="2:5" x14ac:dyDescent="0.3">
      <c r="B23" s="23" t="s">
        <v>319</v>
      </c>
      <c r="C23" s="13">
        <v>801</v>
      </c>
    </row>
    <row r="24" spans="2:5" x14ac:dyDescent="0.3">
      <c r="B24" s="17" t="s">
        <v>332</v>
      </c>
      <c r="C24" s="13">
        <v>2329</v>
      </c>
    </row>
    <row r="25" spans="2:5" x14ac:dyDescent="0.3">
      <c r="B25" s="23" t="s">
        <v>320</v>
      </c>
      <c r="C25" s="13">
        <v>782</v>
      </c>
    </row>
    <row r="26" spans="2:5" x14ac:dyDescent="0.3">
      <c r="B26" s="23" t="s">
        <v>321</v>
      </c>
      <c r="C26" s="13">
        <v>777</v>
      </c>
    </row>
    <row r="27" spans="2:5" x14ac:dyDescent="0.3">
      <c r="B27" s="23" t="s">
        <v>322</v>
      </c>
      <c r="C27" s="13">
        <v>770</v>
      </c>
    </row>
    <row r="28" spans="2:5" x14ac:dyDescent="0.3">
      <c r="B28" s="17" t="s">
        <v>333</v>
      </c>
      <c r="C28" s="13">
        <v>2351</v>
      </c>
    </row>
    <row r="29" spans="2:5" x14ac:dyDescent="0.3">
      <c r="B29" s="23" t="s">
        <v>323</v>
      </c>
      <c r="C29" s="13">
        <v>784</v>
      </c>
    </row>
    <row r="30" spans="2:5" x14ac:dyDescent="0.3">
      <c r="B30" s="23" t="s">
        <v>324</v>
      </c>
      <c r="C30" s="13">
        <v>787</v>
      </c>
    </row>
    <row r="31" spans="2:5" x14ac:dyDescent="0.3">
      <c r="B31" s="23" t="s">
        <v>325</v>
      </c>
      <c r="C31" s="13">
        <v>780</v>
      </c>
    </row>
    <row r="32" spans="2:5" x14ac:dyDescent="0.3">
      <c r="B32" s="17" t="s">
        <v>334</v>
      </c>
      <c r="C32" s="13">
        <v>2005</v>
      </c>
    </row>
    <row r="33" spans="2:3" x14ac:dyDescent="0.3">
      <c r="B33" s="23" t="s">
        <v>326</v>
      </c>
      <c r="C33" s="13">
        <v>832</v>
      </c>
    </row>
    <row r="34" spans="2:3" x14ac:dyDescent="0.3">
      <c r="B34" s="23" t="s">
        <v>327</v>
      </c>
      <c r="C34" s="13">
        <v>784</v>
      </c>
    </row>
    <row r="35" spans="2:3" x14ac:dyDescent="0.3">
      <c r="B35" s="23" t="s">
        <v>328</v>
      </c>
      <c r="C35" s="13">
        <v>389</v>
      </c>
    </row>
    <row r="36" spans="2:3" x14ac:dyDescent="0.3">
      <c r="B36" s="16" t="s">
        <v>335</v>
      </c>
      <c r="C36" s="13">
        <v>7633</v>
      </c>
    </row>
    <row r="49" spans="2:3" ht="43.2" x14ac:dyDescent="0.3">
      <c r="B49" s="18" t="s">
        <v>336</v>
      </c>
    </row>
    <row r="52" spans="2:3" x14ac:dyDescent="0.3">
      <c r="B52" s="12" t="s">
        <v>316</v>
      </c>
      <c r="C52" t="s">
        <v>337</v>
      </c>
    </row>
    <row r="53" spans="2:3" x14ac:dyDescent="0.3">
      <c r="B53" s="16" t="s">
        <v>29</v>
      </c>
      <c r="C53" s="14">
        <v>101</v>
      </c>
    </row>
    <row r="54" spans="2:3" x14ac:dyDescent="0.3">
      <c r="B54" s="16" t="s">
        <v>34</v>
      </c>
      <c r="C54" s="14">
        <v>96</v>
      </c>
    </row>
    <row r="55" spans="2:3" x14ac:dyDescent="0.3">
      <c r="B55" s="16" t="s">
        <v>25</v>
      </c>
      <c r="C55" s="14">
        <v>98</v>
      </c>
    </row>
    <row r="56" spans="2:3" x14ac:dyDescent="0.3">
      <c r="B56" s="16" t="s">
        <v>314</v>
      </c>
      <c r="C56" s="14">
        <v>295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100"/>
  <sheetViews>
    <sheetView showGridLines="0" tabSelected="1" zoomScale="90" zoomScaleNormal="90" workbookViewId="0">
      <selection activeCell="W26" sqref="W26"/>
    </sheetView>
  </sheetViews>
  <sheetFormatPr defaultRowHeight="14.4" x14ac:dyDescent="0.3"/>
  <cols>
    <col min="1" max="1" width="20" style="4" customWidth="1"/>
    <col min="2" max="2" width="3.5546875" style="4" customWidth="1"/>
    <col min="12" max="12" width="6.5546875" customWidth="1"/>
    <col min="27" max="27" width="8.88671875" customWidth="1"/>
  </cols>
  <sheetData>
    <row r="1" spans="3:26" s="4" customFormat="1" ht="39" customHeight="1" x14ac:dyDescent="0.35">
      <c r="C1" s="24" t="s">
        <v>315</v>
      </c>
      <c r="D1" s="15"/>
      <c r="E1" s="15"/>
      <c r="F1" s="15"/>
      <c r="G1" s="15"/>
      <c r="H1" s="15"/>
      <c r="I1" s="15"/>
      <c r="J1" s="15"/>
      <c r="K1" s="15"/>
    </row>
    <row r="2" spans="3:26" x14ac:dyDescent="0.3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3:26" ht="8.25" customHeight="1" x14ac:dyDescent="0.3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3:26" ht="7.5" customHeight="1" x14ac:dyDescent="0.3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3:26" ht="10.5" customHeight="1" x14ac:dyDescent="0.3">
      <c r="C5" s="7"/>
      <c r="D5" s="7"/>
      <c r="E5" s="7"/>
      <c r="F5" s="7"/>
      <c r="G5" s="7"/>
      <c r="H5" s="7"/>
      <c r="I5" s="2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3:26" ht="9.75" customHeight="1" x14ac:dyDescent="0.3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3:26" ht="33" customHeight="1" x14ac:dyDescent="0.3">
      <c r="C7" s="7"/>
      <c r="D7" s="7"/>
      <c r="E7" s="7"/>
      <c r="F7" s="7"/>
      <c r="G7" s="7"/>
      <c r="H7" s="7"/>
      <c r="I7" s="7"/>
      <c r="J7" s="2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3:26" x14ac:dyDescent="0.3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3:26" x14ac:dyDescent="0.3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3:26" x14ac:dyDescent="0.3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3:26" x14ac:dyDescent="0.3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3:26" x14ac:dyDescent="0.3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3:26" x14ac:dyDescent="0.3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3:26" x14ac:dyDescent="0.3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3:26" x14ac:dyDescent="0.3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3:26" x14ac:dyDescent="0.3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3:26" x14ac:dyDescent="0.3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3:26" x14ac:dyDescent="0.3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3:26" x14ac:dyDescent="0.3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3:26" x14ac:dyDescent="0.3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3:26" x14ac:dyDescent="0.3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3:26" x14ac:dyDescent="0.3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3:26" x14ac:dyDescent="0.3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3:26" x14ac:dyDescent="0.3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3:26" x14ac:dyDescent="0.3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3:26" x14ac:dyDescent="0.3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3:26" x14ac:dyDescent="0.3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3:26" x14ac:dyDescent="0.3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3:26" x14ac:dyDescent="0.3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3:26" x14ac:dyDescent="0.3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3:26" x14ac:dyDescent="0.3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3:26" x14ac:dyDescent="0.3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3:26" x14ac:dyDescent="0.3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3:26" x14ac:dyDescent="0.3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3:26" x14ac:dyDescent="0.3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3:26" x14ac:dyDescent="0.3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3:26" x14ac:dyDescent="0.3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3:26" x14ac:dyDescent="0.3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3:26" x14ac:dyDescent="0.3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3:26" x14ac:dyDescent="0.3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3:26" x14ac:dyDescent="0.3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3:26" x14ac:dyDescent="0.3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3:26" x14ac:dyDescent="0.3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3:26" x14ac:dyDescent="0.3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3:26" x14ac:dyDescent="0.3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3:26" x14ac:dyDescent="0.3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3:26" x14ac:dyDescent="0.3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3:26" x14ac:dyDescent="0.3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3:26" x14ac:dyDescent="0.3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3:26" x14ac:dyDescent="0.3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3:26" x14ac:dyDescent="0.3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3:26" x14ac:dyDescent="0.3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3:26" x14ac:dyDescent="0.3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3:26" x14ac:dyDescent="0.3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3:26" x14ac:dyDescent="0.3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3:26" x14ac:dyDescent="0.3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3:26" x14ac:dyDescent="0.3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3:26" x14ac:dyDescent="0.3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3:26" x14ac:dyDescent="0.3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3:26" x14ac:dyDescent="0.3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3:26" x14ac:dyDescent="0.3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3:26" x14ac:dyDescent="0.3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3:26" x14ac:dyDescent="0.3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3:26" x14ac:dyDescent="0.3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3:26" x14ac:dyDescent="0.3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3:26" x14ac:dyDescent="0.3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3:26" x14ac:dyDescent="0.3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3:26" x14ac:dyDescent="0.3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3:26" x14ac:dyDescent="0.3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3:26" x14ac:dyDescent="0.3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3:26" x14ac:dyDescent="0.3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3:26" x14ac:dyDescent="0.3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3:26" x14ac:dyDescent="0.3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3:26" x14ac:dyDescent="0.3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3:26" x14ac:dyDescent="0.3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3:26" x14ac:dyDescent="0.3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3:26" x14ac:dyDescent="0.3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3:26" x14ac:dyDescent="0.3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3:26" x14ac:dyDescent="0.3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3:26" x14ac:dyDescent="0.3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3:26" x14ac:dyDescent="0.3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3:26" x14ac:dyDescent="0.3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3:26" x14ac:dyDescent="0.3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3:26" x14ac:dyDescent="0.3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3:26" x14ac:dyDescent="0.3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3:26" x14ac:dyDescent="0.3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3:26" x14ac:dyDescent="0.3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3:26" x14ac:dyDescent="0.3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3:26" x14ac:dyDescent="0.3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3:26" x14ac:dyDescent="0.3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3:26" x14ac:dyDescent="0.3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3:26" x14ac:dyDescent="0.3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3:26" x14ac:dyDescent="0.3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3:26" x14ac:dyDescent="0.3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3:26" x14ac:dyDescent="0.3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3:26" x14ac:dyDescent="0.3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3:26" x14ac:dyDescent="0.3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3:26" x14ac:dyDescent="0.3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3:26" x14ac:dyDescent="0.3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3:26" x14ac:dyDescent="0.3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Vitória Spinelle</cp:lastModifiedBy>
  <cp:revision/>
  <dcterms:created xsi:type="dcterms:W3CDTF">2024-12-19T13:13:10Z</dcterms:created>
  <dcterms:modified xsi:type="dcterms:W3CDTF">2026-07-16T23:50:44Z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